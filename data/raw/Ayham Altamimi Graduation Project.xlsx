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H\Desktop\"/>
    </mc:Choice>
  </mc:AlternateContent>
  <xr:revisionPtr revIDLastSave="0" documentId="13_ncr:1_{43C60B6A-6997-41B7-A99E-E09739DEB4F1}" xr6:coauthVersionLast="43" xr6:coauthVersionMax="43" xr10:uidLastSave="{00000000-0000-0000-0000-000000000000}"/>
  <bookViews>
    <workbookView xWindow="-108" yWindow="-108" windowWidth="23256" windowHeight="12456" firstSheet="1" activeTab="1" xr2:uid="{2D3A4A40-AC88-47F9-8934-6F598C507048}"/>
  </bookViews>
  <sheets>
    <sheet name="Sheet1" sheetId="1" state="hidden" r:id="rId1"/>
    <sheet name="Sheet2" sheetId="2" r:id="rId2"/>
    <sheet name="Sheet4" sheetId="4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4" i="2" l="1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C333" i="2"/>
  <c r="C334" i="2"/>
  <c r="C335" i="2" l="1"/>
  <c r="C332" i="2"/>
</calcChain>
</file>

<file path=xl/sharedStrings.xml><?xml version="1.0" encoding="utf-8"?>
<sst xmlns="http://schemas.openxmlformats.org/spreadsheetml/2006/main" count="810" uniqueCount="137">
  <si>
    <t>Last Updated Date</t>
  </si>
  <si>
    <t>Country Name</t>
  </si>
  <si>
    <t>Country Code</t>
  </si>
  <si>
    <t>Indicator Name</t>
  </si>
  <si>
    <t>Indicator Code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</si>
  <si>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</si>
  <si>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</si>
  <si>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</si>
  <si>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</si>
  <si>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</si>
  <si>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</si>
  <si>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</si>
  <si>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</si>
  <si>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</si>
  <si>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</si>
  <si>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</si>
  <si>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</si>
  <si>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</si>
  <si>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</si>
  <si>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</si>
  <si>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</si>
  <si>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</si>
  <si>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</si>
  <si>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</si>
  <si>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الأردن</t>
  </si>
  <si>
    <t>JOR</t>
  </si>
  <si>
    <t>Unemployment, total (% of total labor force) (national estimate)</t>
  </si>
  <si>
    <t>SL.UEM.TOTL.NE.ZS</t>
  </si>
  <si>
    <t>نمو إجمالي الناتج المحلي (% سنوياً)</t>
  </si>
  <si>
    <t>NY.GDP.MKTP.KD.ZG</t>
  </si>
  <si>
    <t>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</si>
  <si>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</si>
  <si>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</si>
  <si>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</si>
  <si>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</si>
  <si>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</si>
  <si>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</si>
  <si>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</si>
  <si>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</si>
  <si>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</si>
  <si>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</si>
  <si>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</si>
  <si>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</si>
  <si>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</si>
  <si>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</si>
  <si>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</si>
  <si>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</si>
  <si>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</si>
  <si>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</si>
  <si>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</si>
  <si>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</si>
  <si>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</si>
  <si>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</si>
  <si>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</si>
  <si>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</si>
  <si>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</si>
  <si>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</si>
  <si>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</si>
  <si>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</si>
  <si>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</si>
  <si>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</si>
  <si>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</si>
  <si>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</si>
  <si>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</si>
  <si>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</si>
  <si>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</si>
  <si>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</si>
  <si>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</si>
  <si>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</si>
  <si>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</si>
  <si>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</si>
  <si>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</si>
  <si>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</si>
  <si>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</si>
  <si>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</si>
  <si>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</si>
  <si>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</si>
  <si>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</si>
  <si>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</si>
  <si>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</si>
  <si>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</si>
  <si>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</si>
  <si>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</si>
  <si>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</si>
  <si>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</si>
  <si>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</si>
  <si>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</si>
  <si>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</si>
  <si>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</si>
  <si>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</si>
  <si>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</si>
  <si>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</si>
  <si>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</si>
  <si>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</si>
  <si>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</si>
  <si>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</si>
  <si>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</si>
  <si>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</si>
  <si>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</si>
  <si>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</si>
  <si>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</si>
  <si>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</si>
  <si>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</si>
  <si>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</si>
  <si>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2024</t>
  </si>
  <si>
    <t>2025</t>
  </si>
  <si>
    <t>FDI</t>
  </si>
  <si>
    <t>GDP_Growth</t>
  </si>
  <si>
    <t>Uemp_Female</t>
  </si>
  <si>
    <t>Youth_Uemp_M</t>
  </si>
  <si>
    <t>Youth_Uemp_F</t>
  </si>
  <si>
    <t>Pop_Growth</t>
  </si>
  <si>
    <t>Remit_GDP</t>
  </si>
  <si>
    <t>Edu_Spend</t>
  </si>
  <si>
    <t>Gov_Consump</t>
  </si>
  <si>
    <t>Lab_Force</t>
  </si>
  <si>
    <t>LFPR</t>
  </si>
  <si>
    <t>Internet_Users</t>
  </si>
  <si>
    <t>HighTech_Exp</t>
  </si>
  <si>
    <t>Private_Credit</t>
  </si>
  <si>
    <t>Real_Interest</t>
  </si>
  <si>
    <t>Energy_Imp</t>
  </si>
  <si>
    <t>Edu_Tertiary</t>
  </si>
  <si>
    <t>Life_Exp</t>
  </si>
  <si>
    <t>Inflation</t>
  </si>
  <si>
    <t>Jordan</t>
  </si>
  <si>
    <t>Country</t>
  </si>
  <si>
    <t>Egypt</t>
  </si>
  <si>
    <t>Lebanon</t>
  </si>
  <si>
    <t>Morocco</t>
  </si>
  <si>
    <t>Tunisia</t>
  </si>
  <si>
    <t>avg</t>
  </si>
  <si>
    <t>std</t>
  </si>
  <si>
    <t>min</t>
  </si>
  <si>
    <t>max</t>
  </si>
  <si>
    <t>Total_Uemp_Nat</t>
  </si>
  <si>
    <t>Uemp_Male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</si>
</sst>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Sheet2!$C$2:$C$20</c:f>
              <c:numCache>
                <c:formatCode>General</c:formatCode>
                <c:ptCount val="19"/>
                <c:pt idx="17">
                  <c:v>8.298408853895495</c:v>
                </c:pt>
                <c:pt idx="18">
                  <c:v>14.679566016967712</c:v>
                </c:pt>
              </c:numCache>
            </c:numRef>
          </c:xVal>
          <c:yVal>
            <c:numRef>
              <c:f>Sheet3!$C$25:$C$43</c:f>
              <c:numCache>
                <c:formatCode>General</c:formatCode>
                <c:ptCount val="19"/>
                <c:pt idx="0">
                  <c:v>1.6800976779718102</c:v>
                </c:pt>
                <c:pt idx="1">
                  <c:v>0.85780908431232916</c:v>
                </c:pt>
                <c:pt idx="2">
                  <c:v>-7.608512799871292E-3</c:v>
                </c:pt>
                <c:pt idx="3">
                  <c:v>-0.80490910009401873</c:v>
                </c:pt>
                <c:pt idx="4">
                  <c:v>-1.5180245825802778</c:v>
                </c:pt>
                <c:pt idx="5">
                  <c:v>-3.0440514262249749</c:v>
                </c:pt>
                <c:pt idx="6">
                  <c:v>-2.4684905726345185</c:v>
                </c:pt>
                <c:pt idx="7">
                  <c:v>-3.2964461249947004</c:v>
                </c:pt>
                <c:pt idx="8">
                  <c:v>-2.8213786451806833</c:v>
                </c:pt>
                <c:pt idx="9">
                  <c:v>-3.1995876059682917</c:v>
                </c:pt>
                <c:pt idx="10">
                  <c:v>-2.3935245371483322</c:v>
                </c:pt>
                <c:pt idx="11">
                  <c:v>-0.40234077698739767</c:v>
                </c:pt>
                <c:pt idx="12">
                  <c:v>2.6419436437191273</c:v>
                </c:pt>
                <c:pt idx="13">
                  <c:v>2.5484374880017029</c:v>
                </c:pt>
                <c:pt idx="14">
                  <c:v>1.0226737752207757</c:v>
                </c:pt>
                <c:pt idx="15">
                  <c:v>2.2483247049185415</c:v>
                </c:pt>
                <c:pt idx="16">
                  <c:v>4.8502968704651401</c:v>
                </c:pt>
                <c:pt idx="17">
                  <c:v>2.7942042909616269</c:v>
                </c:pt>
                <c:pt idx="18">
                  <c:v>1.3125743490420465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38-43DC-870D-76214C821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847919"/>
        <c:axId val="536670287"/>
      </c:scatterChart>
      <c:valAx>
        <c:axId val="382847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6670287"/>
        <c:crosses val="autoZero"/>
        <c:crossBetween val="midCat"/>
      </c:valAx>
      <c:valAx>
        <c:axId val="536670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28479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layout>
        <c:manualLayout>
          <c:xMode val="edge"/>
          <c:yMode val="edge"/>
          <c:x val="0.15203986220472443"/>
          <c:y val="4.820936639118457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Sheet2!$C$2:$C$20</c:f>
              <c:numCache>
                <c:formatCode>General</c:formatCode>
                <c:ptCount val="19"/>
                <c:pt idx="17">
                  <c:v>8.298408853895495</c:v>
                </c:pt>
                <c:pt idx="18">
                  <c:v>14.679566016967712</c:v>
                </c:pt>
              </c:numCache>
            </c:numRef>
          </c:xVal>
          <c:yVal>
            <c:numRef>
              <c:f>Sheet2!$D$2:$D$20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8-4FA5-8DB2-2C0A0B73F6B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Sheet2!$C$2:$C$20</c:f>
              <c:numCache>
                <c:formatCode>General</c:formatCode>
                <c:ptCount val="19"/>
                <c:pt idx="17">
                  <c:v>8.298408853895495</c:v>
                </c:pt>
                <c:pt idx="18">
                  <c:v>14.679566016967712</c:v>
                </c:pt>
              </c:numCache>
            </c:numRef>
          </c:xVal>
          <c:yVal>
            <c:numRef>
              <c:f>Sheet3!$B$25:$B$43</c:f>
              <c:numCache>
                <c:formatCode>General</c:formatCode>
                <c:ptCount val="19"/>
                <c:pt idx="0">
                  <c:v>13.119902322028191</c:v>
                </c:pt>
                <c:pt idx="1">
                  <c:v>13.142190915687671</c:v>
                </c:pt>
                <c:pt idx="2">
                  <c:v>13.107608512799871</c:v>
                </c:pt>
                <c:pt idx="3">
                  <c:v>13.504909100094018</c:v>
                </c:pt>
                <c:pt idx="4">
                  <c:v>14.418024582580278</c:v>
                </c:pt>
                <c:pt idx="5">
                  <c:v>15.544051426224975</c:v>
                </c:pt>
                <c:pt idx="6">
                  <c:v>15.368490572634519</c:v>
                </c:pt>
                <c:pt idx="7">
                  <c:v>15.4964461249947</c:v>
                </c:pt>
                <c:pt idx="8">
                  <c:v>15.421378645180683</c:v>
                </c:pt>
                <c:pt idx="9">
                  <c:v>15.099587605968292</c:v>
                </c:pt>
                <c:pt idx="10">
                  <c:v>15.468524537148332</c:v>
                </c:pt>
                <c:pt idx="11">
                  <c:v>15.677340776987398</c:v>
                </c:pt>
                <c:pt idx="12">
                  <c:v>15.478056356280874</c:v>
                </c:pt>
                <c:pt idx="13">
                  <c:v>15.708562511998299</c:v>
                </c:pt>
                <c:pt idx="14">
                  <c:v>15.778326224779223</c:v>
                </c:pt>
                <c:pt idx="15">
                  <c:v>16.964675295081459</c:v>
                </c:pt>
                <c:pt idx="16">
                  <c:v>14.98670312953486</c:v>
                </c:pt>
                <c:pt idx="17">
                  <c:v>15.405795709038372</c:v>
                </c:pt>
                <c:pt idx="18">
                  <c:v>15.307425650957954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08-4FA5-8DB2-2C0A0B73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64719"/>
        <c:axId val="536674447"/>
      </c:scatterChart>
      <c:valAx>
        <c:axId val="113316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6674447"/>
        <c:crosses val="autoZero"/>
        <c:crossBetween val="midCat"/>
      </c:valAx>
      <c:valAx>
        <c:axId val="536674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164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70923-D2DB-476E-8298-B1820AE97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12</xdr:row>
      <xdr:rowOff>175260</xdr:rowOff>
    </xdr:from>
    <xdr:to>
      <xdr:col>15</xdr:col>
      <xdr:colOff>228600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103AA8-10F5-4296-A246-1D95E4D24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6B0A-F888-47F1-A956-CD6DE6F66106}">
  <dimension ref="A1:W6"/>
  <sheetViews>
    <sheetView topLeftCell="D1" workbookViewId="0">
      <selection activeCell="E6" sqref="E6:W6"/>
    </sheetView>
  </sheetViews>
  <sheetFormatPr defaultRowHeight="14.4" x14ac:dyDescent="0.3"/>
  <cols>
    <col min="1" max="1" width="14.109375" customWidth="1"/>
    <col min="2" max="2" width="12.21875" customWidth="1"/>
    <col min="3" max="3" width="53.88671875" customWidth="1"/>
    <col min="4" max="4" width="18.33203125" customWidth="1"/>
  </cols>
  <sheetData>
    <row r="1" spans="1:23" x14ac:dyDescent="0.3">
      <c r="A1" t="s">
        <v>0</v>
      </c>
      <c r="B1" s="1">
        <v>46077</v>
      </c>
    </row>
    <row r="2" spans="1:2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23" x14ac:dyDescent="0.3">
      <c r="A3" t="s">
        <v>24</v>
      </c>
      <c r="B3" t="s">
        <v>25</v>
      </c>
      <c r="C3" t="s">
        <v>28</v>
      </c>
      <c r="D3" t="s">
        <v>29</v>
      </c>
      <c r="E3">
        <v>8.1465948107993142</v>
      </c>
      <c r="F3">
        <v>8.0929752781193258</v>
      </c>
      <c r="G3">
        <v>8.1761699520464646</v>
      </c>
      <c r="H3">
        <v>7.2203863728013857</v>
      </c>
      <c r="I3">
        <v>5.0237100727266863</v>
      </c>
      <c r="J3">
        <v>2.3148342206304591</v>
      </c>
      <c r="K3">
        <v>2.7371798863210444</v>
      </c>
      <c r="L3">
        <v>2.4293580010023845</v>
      </c>
      <c r="M3">
        <v>2.6099473754863141</v>
      </c>
      <c r="N3">
        <v>3.3840780993347153</v>
      </c>
      <c r="O3">
        <v>2.4965287931518816</v>
      </c>
      <c r="P3">
        <v>1.9941808493012019</v>
      </c>
      <c r="Q3">
        <v>2.4735981544904462</v>
      </c>
      <c r="R3">
        <v>1.9190709134156378</v>
      </c>
      <c r="S3">
        <v>1.7512407786622504</v>
      </c>
      <c r="T3">
        <v>-1.1027518830904626</v>
      </c>
      <c r="U3">
        <v>3.6556435899914703</v>
      </c>
      <c r="V3">
        <v>2.6474351491205823</v>
      </c>
      <c r="W3">
        <v>2.8840833928168337</v>
      </c>
    </row>
    <row r="4" spans="1:23" x14ac:dyDescent="0.3">
      <c r="A4" t="s">
        <v>0</v>
      </c>
      <c r="B4" s="1">
        <v>46077</v>
      </c>
    </row>
    <row r="5" spans="1:2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</row>
    <row r="6" spans="1:23" x14ac:dyDescent="0.3">
      <c r="A6" t="s">
        <v>24</v>
      </c>
      <c r="B6" t="s">
        <v>25</v>
      </c>
      <c r="C6" t="s">
        <v>26</v>
      </c>
      <c r="D6" t="s">
        <v>27</v>
      </c>
      <c r="E6">
        <v>14.8</v>
      </c>
      <c r="F6">
        <v>14</v>
      </c>
      <c r="G6">
        <v>13.1</v>
      </c>
      <c r="H6">
        <v>12.7</v>
      </c>
      <c r="I6">
        <v>12.9</v>
      </c>
      <c r="J6">
        <v>12.5</v>
      </c>
      <c r="K6">
        <v>12.9</v>
      </c>
      <c r="L6">
        <v>12.2</v>
      </c>
      <c r="M6">
        <v>12.6</v>
      </c>
      <c r="N6">
        <v>11.9</v>
      </c>
      <c r="O6">
        <v>13.074999999999999</v>
      </c>
      <c r="P6">
        <v>15.275</v>
      </c>
      <c r="Q6">
        <v>18.12</v>
      </c>
      <c r="R6">
        <v>18.257000000000001</v>
      </c>
      <c r="S6">
        <v>16.800999999999998</v>
      </c>
      <c r="T6">
        <v>19.213000000000001</v>
      </c>
      <c r="U6">
        <v>19.837</v>
      </c>
      <c r="V6">
        <v>18.2</v>
      </c>
      <c r="W6">
        <v>16.62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3AB6-980B-443C-AB50-8886F190C867}">
  <dimension ref="A1:W335"/>
  <sheetViews>
    <sheetView tabSelected="1" zoomScale="70" zoomScaleNormal="70" workbookViewId="0">
      <selection activeCell="M335" sqref="M335"/>
    </sheetView>
  </sheetViews>
  <sheetFormatPr defaultRowHeight="14.4" x14ac:dyDescent="0.3"/>
  <cols>
    <col min="1" max="1" width="12.109375" customWidth="1"/>
    <col min="2" max="2" width="8.88671875" style="2"/>
    <col min="3" max="3" width="14.6640625" customWidth="1"/>
    <col min="4" max="5" width="22.88671875" customWidth="1"/>
    <col min="6" max="7" width="25.6640625" bestFit="1" customWidth="1"/>
    <col min="8" max="8" width="27.21875" bestFit="1" customWidth="1"/>
    <col min="9" max="9" width="17.33203125" customWidth="1"/>
    <col min="10" max="10" width="38.21875" bestFit="1" customWidth="1"/>
    <col min="11" max="11" width="27" bestFit="1" customWidth="1"/>
    <col min="12" max="12" width="46.5546875" bestFit="1" customWidth="1"/>
    <col min="13" max="13" width="15.88671875" customWidth="1"/>
    <col min="14" max="14" width="55.21875" bestFit="1" customWidth="1"/>
    <col min="15" max="15" width="26.5546875" bestFit="1" customWidth="1"/>
    <col min="16" max="16" width="22.33203125" bestFit="1" customWidth="1"/>
    <col min="17" max="17" width="11.33203125" customWidth="1"/>
    <col min="18" max="18" width="38.109375" bestFit="1" customWidth="1"/>
    <col min="19" max="19" width="15.88671875" bestFit="1" customWidth="1"/>
    <col min="20" max="20" width="18.109375" bestFit="1" customWidth="1"/>
    <col min="21" max="21" width="24.5546875" bestFit="1" customWidth="1"/>
    <col min="22" max="22" width="21.21875" bestFit="1" customWidth="1"/>
    <col min="23" max="23" width="14.88671875" customWidth="1"/>
  </cols>
  <sheetData>
    <row r="1" spans="1:23" x14ac:dyDescent="0.3">
      <c r="A1" t="s">
        <v>126</v>
      </c>
      <c r="B1" s="2" t="s">
        <v>30</v>
      </c>
      <c r="C1" s="2" t="s">
        <v>107</v>
      </c>
      <c r="D1" s="2" t="s">
        <v>135</v>
      </c>
      <c r="E1" s="2" t="s">
        <v>136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106</v>
      </c>
      <c r="R1" s="2" t="s">
        <v>119</v>
      </c>
      <c r="S1" s="2" t="s">
        <v>120</v>
      </c>
      <c r="T1" s="2" t="s">
        <v>121</v>
      </c>
      <c r="U1" s="2" t="s">
        <v>122</v>
      </c>
      <c r="V1" s="2" t="s">
        <v>123</v>
      </c>
      <c r="W1" s="2" t="s">
        <v>124</v>
      </c>
    </row>
    <row r="2" spans="1:23" x14ac:dyDescent="0.3">
      <c r="A2" t="s">
        <v>125</v>
      </c>
      <c r="B2" s="7">
        <v>1960</v>
      </c>
      <c r="V2">
        <v>52.677999999999997</v>
      </c>
    </row>
    <row r="3" spans="1:23" x14ac:dyDescent="0.3">
      <c r="A3" t="s">
        <v>125</v>
      </c>
      <c r="B3" s="2" t="s">
        <v>60</v>
      </c>
      <c r="I3">
        <v>5.040294406168</v>
      </c>
      <c r="N3">
        <v>40.630000000000003</v>
      </c>
      <c r="V3">
        <v>53.68</v>
      </c>
    </row>
    <row r="4" spans="1:23" x14ac:dyDescent="0.3">
      <c r="A4" t="s">
        <v>125</v>
      </c>
      <c r="B4" s="2" t="s">
        <v>61</v>
      </c>
      <c r="I4">
        <v>4.6754555380580998</v>
      </c>
      <c r="V4">
        <v>54.633000000000003</v>
      </c>
    </row>
    <row r="5" spans="1:23" x14ac:dyDescent="0.3">
      <c r="A5" t="s">
        <v>125</v>
      </c>
      <c r="B5" s="2" t="s">
        <v>62</v>
      </c>
      <c r="I5">
        <v>4.5882180320092596</v>
      </c>
      <c r="V5">
        <v>55.488999999999997</v>
      </c>
    </row>
    <row r="6" spans="1:23" x14ac:dyDescent="0.3">
      <c r="A6" t="s">
        <v>125</v>
      </c>
      <c r="B6" s="2" t="s">
        <v>63</v>
      </c>
      <c r="I6">
        <v>5.0423628402307701</v>
      </c>
      <c r="V6">
        <v>56.456000000000003</v>
      </c>
    </row>
    <row r="7" spans="1:23" x14ac:dyDescent="0.3">
      <c r="A7" t="s">
        <v>125</v>
      </c>
      <c r="B7" s="2" t="s">
        <v>64</v>
      </c>
      <c r="I7">
        <v>5.9781366163419003</v>
      </c>
      <c r="R7">
        <v>14.772175536881418</v>
      </c>
      <c r="V7">
        <v>57.317</v>
      </c>
    </row>
    <row r="8" spans="1:23" x14ac:dyDescent="0.3">
      <c r="A8" t="s">
        <v>125</v>
      </c>
      <c r="B8" s="2" t="s">
        <v>65</v>
      </c>
      <c r="I8">
        <v>6.9322681994405597</v>
      </c>
      <c r="R8">
        <v>15.828085106382977</v>
      </c>
      <c r="V8">
        <v>57.762</v>
      </c>
    </row>
    <row r="9" spans="1:23" x14ac:dyDescent="0.3">
      <c r="A9" t="s">
        <v>125</v>
      </c>
      <c r="B9" s="2" t="s">
        <v>66</v>
      </c>
      <c r="I9">
        <v>7.5824321701396498</v>
      </c>
      <c r="R9">
        <v>16.346187943262411</v>
      </c>
      <c r="V9">
        <v>58.97</v>
      </c>
    </row>
    <row r="10" spans="1:23" x14ac:dyDescent="0.3">
      <c r="A10" t="s">
        <v>125</v>
      </c>
      <c r="B10" s="2" t="s">
        <v>67</v>
      </c>
      <c r="I10">
        <v>7.6656787118599299</v>
      </c>
      <c r="R10">
        <v>19.12125748502994</v>
      </c>
      <c r="V10">
        <v>59.767000000000003</v>
      </c>
    </row>
    <row r="11" spans="1:23" x14ac:dyDescent="0.3">
      <c r="A11" t="s">
        <v>125</v>
      </c>
      <c r="B11" s="2" t="s">
        <v>68</v>
      </c>
      <c r="I11">
        <v>7.07642737598949</v>
      </c>
      <c r="R11">
        <v>17.415064102564102</v>
      </c>
      <c r="V11">
        <v>60.503999999999998</v>
      </c>
      <c r="W11">
        <v>5.8999999989999159</v>
      </c>
    </row>
    <row r="12" spans="1:23" x14ac:dyDescent="0.3">
      <c r="A12" t="s">
        <v>125</v>
      </c>
      <c r="B12" s="2" t="s">
        <v>69</v>
      </c>
      <c r="I12">
        <v>6.0620948084409596</v>
      </c>
      <c r="K12">
        <v>3.6300399303436302</v>
      </c>
      <c r="R12">
        <v>19.095446584938706</v>
      </c>
      <c r="V12">
        <v>59.832999999999998</v>
      </c>
      <c r="W12">
        <v>4.8158640236526757</v>
      </c>
    </row>
    <row r="13" spans="1:23" x14ac:dyDescent="0.3">
      <c r="A13" t="s">
        <v>125</v>
      </c>
      <c r="B13" s="2" t="s">
        <v>70</v>
      </c>
      <c r="I13">
        <v>4.9838554306205403</v>
      </c>
      <c r="K13">
        <v>3.29768991470337</v>
      </c>
      <c r="R13">
        <v>18.495871180842279</v>
      </c>
      <c r="V13">
        <v>61.771999999999998</v>
      </c>
      <c r="W13">
        <v>7.6576576576575999</v>
      </c>
    </row>
    <row r="14" spans="1:23" x14ac:dyDescent="0.3">
      <c r="A14" t="s">
        <v>125</v>
      </c>
      <c r="B14" s="2" t="s">
        <v>71</v>
      </c>
      <c r="I14">
        <v>4.13250455003549</v>
      </c>
      <c r="J14">
        <v>2.6278392119002802</v>
      </c>
      <c r="K14">
        <v>2.38742995262146</v>
      </c>
      <c r="Q14">
        <v>7.1022677300508305E-2</v>
      </c>
      <c r="R14">
        <v>17.00958806818182</v>
      </c>
      <c r="V14">
        <v>62.476999999999997</v>
      </c>
      <c r="W14">
        <v>11.12970711213371</v>
      </c>
    </row>
    <row r="15" spans="1:23" x14ac:dyDescent="0.3">
      <c r="A15" t="s">
        <v>125</v>
      </c>
      <c r="B15" s="2" t="s">
        <v>72</v>
      </c>
      <c r="I15">
        <v>3.6388432355954401</v>
      </c>
      <c r="J15">
        <v>4.7404083792497973</v>
      </c>
      <c r="K15">
        <v>2.4869399070739799</v>
      </c>
      <c r="Q15">
        <v>0.22573372503058878</v>
      </c>
      <c r="R15">
        <v>19.126410835214447</v>
      </c>
      <c r="V15">
        <v>63.064999999999998</v>
      </c>
      <c r="W15">
        <v>19.427710843520401</v>
      </c>
    </row>
    <row r="16" spans="1:23" x14ac:dyDescent="0.3">
      <c r="A16" t="s">
        <v>125</v>
      </c>
      <c r="B16" s="2" t="s">
        <v>73</v>
      </c>
      <c r="I16">
        <v>3.3778903469409398</v>
      </c>
      <c r="J16">
        <v>6.2483858545358357</v>
      </c>
      <c r="K16">
        <v>3.55768990516663</v>
      </c>
      <c r="Q16">
        <v>0.57039208805157282</v>
      </c>
      <c r="R16">
        <v>20.814363494944256</v>
      </c>
      <c r="V16">
        <v>63.610999999999997</v>
      </c>
      <c r="W16">
        <v>11.97982345530882</v>
      </c>
    </row>
    <row r="17" spans="1:23" x14ac:dyDescent="0.3">
      <c r="A17" t="s">
        <v>125</v>
      </c>
      <c r="B17" s="2" t="s">
        <v>74</v>
      </c>
      <c r="I17">
        <v>3.2035486467552299</v>
      </c>
      <c r="J17">
        <v>12.227587541848681</v>
      </c>
      <c r="K17">
        <v>3.7634799480438201</v>
      </c>
      <c r="N17">
        <v>41.36</v>
      </c>
      <c r="Q17">
        <v>1.8811673716157347</v>
      </c>
      <c r="R17">
        <v>26.524202798807067</v>
      </c>
      <c r="V17">
        <v>64.147999999999996</v>
      </c>
      <c r="W17">
        <v>11.49999999999967</v>
      </c>
    </row>
    <row r="18" spans="1:23" x14ac:dyDescent="0.3">
      <c r="A18" t="s">
        <v>125</v>
      </c>
      <c r="B18" s="2" t="s">
        <v>75</v>
      </c>
      <c r="I18">
        <v>3.0657544365670502</v>
      </c>
      <c r="J18">
        <v>24.047931569140882</v>
      </c>
      <c r="K18">
        <v>3.5345599651336701</v>
      </c>
      <c r="L18">
        <v>33.515514809590975</v>
      </c>
      <c r="Q18">
        <v>-0.44076119488087456</v>
      </c>
      <c r="R18">
        <v>31.248942172073342</v>
      </c>
      <c r="V18">
        <v>64.653999999999996</v>
      </c>
      <c r="W18">
        <v>14.566517189387611</v>
      </c>
    </row>
    <row r="19" spans="1:23" x14ac:dyDescent="0.3">
      <c r="A19" t="s">
        <v>125</v>
      </c>
      <c r="B19" s="2" t="s">
        <v>76</v>
      </c>
      <c r="C19">
        <v>8.298408853895495</v>
      </c>
      <c r="I19">
        <v>3.0589391531298702</v>
      </c>
      <c r="J19">
        <v>22.401312762080561</v>
      </c>
      <c r="K19">
        <v>3.6798999309539799</v>
      </c>
      <c r="L19">
        <v>27.11471610660487</v>
      </c>
      <c r="Q19">
        <v>0.53559480254826763</v>
      </c>
      <c r="R19">
        <v>28.487108922363845</v>
      </c>
      <c r="V19">
        <v>65.126999999999995</v>
      </c>
      <c r="W19">
        <v>6.921521299524076</v>
      </c>
    </row>
    <row r="20" spans="1:23" x14ac:dyDescent="0.3">
      <c r="A20" t="s">
        <v>125</v>
      </c>
      <c r="B20" s="2" t="s">
        <v>77</v>
      </c>
      <c r="C20">
        <v>14.679566016967712</v>
      </c>
      <c r="I20">
        <v>3.1491437273570102</v>
      </c>
      <c r="J20">
        <v>20.005178651287249</v>
      </c>
      <c r="K20">
        <v>3.68162989616394</v>
      </c>
      <c r="L20">
        <v>29.473154784358101</v>
      </c>
      <c r="Q20">
        <v>2.1685927750641283</v>
      </c>
      <c r="R20">
        <v>39.451401986671698</v>
      </c>
      <c r="V20">
        <v>65.602000000000004</v>
      </c>
      <c r="W20">
        <v>14.246491763078369</v>
      </c>
    </row>
    <row r="21" spans="1:23" x14ac:dyDescent="0.3">
      <c r="A21" t="s">
        <v>125</v>
      </c>
      <c r="B21" s="2" t="s">
        <v>78</v>
      </c>
      <c r="C21">
        <v>20.802909264702166</v>
      </c>
      <c r="I21">
        <v>3.3177028239138502</v>
      </c>
      <c r="J21">
        <v>18.369960649314415</v>
      </c>
      <c r="K21">
        <v>5.0817298889160201</v>
      </c>
      <c r="L21">
        <v>34.310432569974552</v>
      </c>
      <c r="N21">
        <v>43.08</v>
      </c>
      <c r="Q21">
        <v>0.80611720163513123</v>
      </c>
      <c r="R21">
        <v>45.192061068702287</v>
      </c>
      <c r="V21">
        <v>66.049000000000007</v>
      </c>
      <c r="W21">
        <v>11.111111111111329</v>
      </c>
    </row>
    <row r="22" spans="1:23" x14ac:dyDescent="0.3">
      <c r="A22" t="s">
        <v>125</v>
      </c>
      <c r="B22" s="2" t="s">
        <v>79</v>
      </c>
      <c r="C22">
        <v>11.184846461895219</v>
      </c>
      <c r="I22">
        <v>3.6605160477611798</v>
      </c>
      <c r="J22">
        <v>20.303099740216972</v>
      </c>
      <c r="L22">
        <v>29.204223538501157</v>
      </c>
      <c r="Q22">
        <v>0.86522400662185062</v>
      </c>
      <c r="R22">
        <v>46.497038372392481</v>
      </c>
      <c r="V22">
        <v>66.492999999999995</v>
      </c>
      <c r="W22">
        <v>7.6999999999997533</v>
      </c>
    </row>
    <row r="23" spans="1:23" x14ac:dyDescent="0.3">
      <c r="A23" t="s">
        <v>125</v>
      </c>
      <c r="B23" s="2" t="s">
        <v>80</v>
      </c>
      <c r="C23">
        <v>17.178717439762451</v>
      </c>
      <c r="I23">
        <v>4.0065424001222798</v>
      </c>
      <c r="J23">
        <v>23.561914075381189</v>
      </c>
      <c r="K23">
        <v>5.1676797866821298</v>
      </c>
      <c r="L23">
        <v>31.506281927378161</v>
      </c>
      <c r="Q23">
        <v>3.2120334823812962</v>
      </c>
      <c r="R23">
        <v>47.613903078834738</v>
      </c>
      <c r="V23">
        <v>66.92</v>
      </c>
      <c r="W23">
        <v>7.4280408542249097</v>
      </c>
    </row>
    <row r="24" spans="1:23" x14ac:dyDescent="0.3">
      <c r="A24" t="s">
        <v>125</v>
      </c>
      <c r="B24" s="2" t="s">
        <v>81</v>
      </c>
      <c r="C24">
        <v>7.0259433870324415</v>
      </c>
      <c r="E24">
        <v>6.6</v>
      </c>
      <c r="I24">
        <v>4.2683468095000103</v>
      </c>
      <c r="J24">
        <v>23.119615368808194</v>
      </c>
      <c r="K24">
        <v>5.08854007720947</v>
      </c>
      <c r="L24">
        <v>28.961881098115267</v>
      </c>
      <c r="Q24">
        <v>1.2695788502640035</v>
      </c>
      <c r="R24">
        <v>51.086903824010662</v>
      </c>
      <c r="V24">
        <v>67.36</v>
      </c>
      <c r="W24">
        <v>5.0201670983146132</v>
      </c>
    </row>
    <row r="25" spans="1:23" x14ac:dyDescent="0.3">
      <c r="A25" t="s">
        <v>125</v>
      </c>
      <c r="B25" s="2" t="s">
        <v>82</v>
      </c>
      <c r="C25">
        <v>-2.2197385544596528</v>
      </c>
      <c r="I25">
        <v>4.4477434355810201</v>
      </c>
      <c r="J25">
        <v>22.549796572105731</v>
      </c>
      <c r="K25">
        <v>4.9279599189758301</v>
      </c>
      <c r="L25">
        <v>26.49725736034927</v>
      </c>
      <c r="Q25">
        <v>0.70853165728477829</v>
      </c>
      <c r="R25">
        <v>55.595880443300125</v>
      </c>
      <c r="V25">
        <v>67.778000000000006</v>
      </c>
      <c r="W25">
        <v>3.847472738376108</v>
      </c>
    </row>
    <row r="26" spans="1:23" x14ac:dyDescent="0.3">
      <c r="A26" t="s">
        <v>125</v>
      </c>
      <c r="B26" s="2" t="s">
        <v>83</v>
      </c>
      <c r="C26">
        <v>4.2916877652245518</v>
      </c>
      <c r="I26">
        <v>4.5223851302318598</v>
      </c>
      <c r="J26">
        <v>24.897099814016073</v>
      </c>
      <c r="K26">
        <v>5.93695020675659</v>
      </c>
      <c r="L26">
        <v>27.99392574749961</v>
      </c>
      <c r="Q26">
        <v>1.5600020774387238</v>
      </c>
      <c r="R26">
        <v>59.356443420432527</v>
      </c>
      <c r="V26">
        <v>68.206000000000003</v>
      </c>
      <c r="W26">
        <v>2.9850746271475588</v>
      </c>
    </row>
    <row r="27" spans="1:23" x14ac:dyDescent="0.3">
      <c r="A27" t="s">
        <v>125</v>
      </c>
      <c r="B27" s="2" t="s">
        <v>84</v>
      </c>
      <c r="C27">
        <v>-2.7069471642762437</v>
      </c>
      <c r="E27">
        <v>13.3</v>
      </c>
      <c r="I27">
        <v>4.5695644841518304</v>
      </c>
      <c r="J27">
        <v>20.469742405713994</v>
      </c>
      <c r="L27">
        <v>26.981629960418154</v>
      </c>
      <c r="Q27">
        <v>0.49961790809962747</v>
      </c>
      <c r="R27">
        <v>60.559981731452353</v>
      </c>
      <c r="V27">
        <v>68.587000000000003</v>
      </c>
    </row>
    <row r="28" spans="1:23" x14ac:dyDescent="0.3">
      <c r="A28" t="s">
        <v>125</v>
      </c>
      <c r="B28" s="2" t="s">
        <v>85</v>
      </c>
      <c r="C28">
        <v>5.5046342418637977</v>
      </c>
      <c r="E28">
        <v>14.8</v>
      </c>
      <c r="I28">
        <v>4.6091470308513198</v>
      </c>
      <c r="J28">
        <v>18.491254650231109</v>
      </c>
      <c r="K28">
        <v>3.2843599319457999</v>
      </c>
      <c r="L28">
        <v>25.28453470207543</v>
      </c>
      <c r="Q28">
        <v>0.35542063336506202</v>
      </c>
      <c r="R28">
        <v>57.644008033921004</v>
      </c>
      <c r="V28">
        <v>68.962000000000003</v>
      </c>
      <c r="W28">
        <v>-0.1999999999999082</v>
      </c>
    </row>
    <row r="29" spans="1:23" x14ac:dyDescent="0.3">
      <c r="A29" t="s">
        <v>125</v>
      </c>
      <c r="B29" s="2" t="s">
        <v>86</v>
      </c>
      <c r="C29">
        <v>2.3232743769526394</v>
      </c>
      <c r="I29">
        <v>4.62513030598992</v>
      </c>
      <c r="J29">
        <v>13.882814778909196</v>
      </c>
      <c r="K29">
        <v>3.29666996002197</v>
      </c>
      <c r="L29">
        <v>25.657060392705645</v>
      </c>
      <c r="Q29">
        <v>0.58462643116409352</v>
      </c>
      <c r="R29">
        <v>59.032929549131943</v>
      </c>
      <c r="V29">
        <v>69.296999999999997</v>
      </c>
      <c r="W29">
        <v>6.6132264529057752</v>
      </c>
    </row>
    <row r="30" spans="1:23" x14ac:dyDescent="0.3">
      <c r="A30" t="s">
        <v>125</v>
      </c>
      <c r="B30" s="2" t="s">
        <v>87</v>
      </c>
      <c r="C30">
        <v>1.4621698166070729</v>
      </c>
      <c r="I30">
        <v>4.6607576002442004</v>
      </c>
      <c r="J30">
        <v>14.257065320005466</v>
      </c>
      <c r="K30">
        <v>4.0475001335143999</v>
      </c>
      <c r="L30">
        <v>25.719271365338781</v>
      </c>
      <c r="Q30">
        <v>0.37804744413285218</v>
      </c>
      <c r="R30">
        <v>62.20403472931563</v>
      </c>
      <c r="V30">
        <v>69.605000000000004</v>
      </c>
      <c r="W30">
        <v>25.712719298245361</v>
      </c>
    </row>
    <row r="31" spans="1:23" x14ac:dyDescent="0.3">
      <c r="A31" t="s">
        <v>125</v>
      </c>
      <c r="B31" s="2" t="s">
        <v>88</v>
      </c>
      <c r="C31">
        <v>-10.729219280484926</v>
      </c>
      <c r="I31">
        <v>4.7875868477614203</v>
      </c>
      <c r="J31">
        <v>14.854663677163337</v>
      </c>
      <c r="K31">
        <v>5.6435399055481001</v>
      </c>
      <c r="L31">
        <v>25.512265512265515</v>
      </c>
      <c r="Q31">
        <v>-3.1975499373875456E-2</v>
      </c>
      <c r="R31">
        <v>64.523356009070298</v>
      </c>
      <c r="V31">
        <v>69.864999999999995</v>
      </c>
      <c r="W31">
        <v>16.192137561523349</v>
      </c>
    </row>
    <row r="32" spans="1:23" x14ac:dyDescent="0.3">
      <c r="A32" t="s">
        <v>125</v>
      </c>
      <c r="B32" s="2" t="s">
        <v>89</v>
      </c>
      <c r="C32">
        <v>-0.27590390759192474</v>
      </c>
      <c r="I32">
        <v>7.8151962453049597</v>
      </c>
      <c r="J32">
        <v>12.001360280516375</v>
      </c>
      <c r="L32">
        <v>24.044764767665061</v>
      </c>
      <c r="M32">
        <v>784076</v>
      </c>
      <c r="O32">
        <v>0</v>
      </c>
      <c r="Q32">
        <v>0.90495152421392944</v>
      </c>
      <c r="R32">
        <v>62.15385172576147</v>
      </c>
      <c r="V32">
        <v>70.093999999999994</v>
      </c>
      <c r="W32">
        <v>8.1554959785521248</v>
      </c>
    </row>
    <row r="33" spans="1:23" x14ac:dyDescent="0.3">
      <c r="A33" t="s">
        <v>125</v>
      </c>
      <c r="B33" s="2" t="s">
        <v>90</v>
      </c>
      <c r="C33">
        <v>1.6085310726024318</v>
      </c>
      <c r="D33">
        <v>21.439</v>
      </c>
      <c r="F33">
        <v>32.183</v>
      </c>
      <c r="H33">
        <v>59.329000000000001</v>
      </c>
      <c r="I33">
        <v>7.78524286596351</v>
      </c>
      <c r="J33">
        <v>10.309805034224082</v>
      </c>
      <c r="L33">
        <v>25.084516565246791</v>
      </c>
      <c r="M33">
        <v>880594</v>
      </c>
      <c r="Q33">
        <v>-0.27362154008388551</v>
      </c>
      <c r="R33">
        <v>62.237187288708583</v>
      </c>
      <c r="T33">
        <v>93.071102892393085</v>
      </c>
      <c r="V33">
        <v>70.239999999999995</v>
      </c>
      <c r="W33">
        <v>3.995835605571898</v>
      </c>
    </row>
    <row r="34" spans="1:23" x14ac:dyDescent="0.3">
      <c r="A34" t="s">
        <v>125</v>
      </c>
      <c r="B34" s="2" t="s">
        <v>91</v>
      </c>
      <c r="C34">
        <v>14.349776059688551</v>
      </c>
      <c r="D34">
        <v>19.946999999999999</v>
      </c>
      <c r="E34">
        <v>19.7</v>
      </c>
      <c r="F34">
        <v>30.3</v>
      </c>
      <c r="H34">
        <v>57.78</v>
      </c>
      <c r="I34">
        <v>5.2865267791671604</v>
      </c>
      <c r="J34">
        <v>15.885635570672067</v>
      </c>
      <c r="L34">
        <v>21.897850653667184</v>
      </c>
      <c r="M34">
        <v>939578</v>
      </c>
      <c r="Q34">
        <v>0.76678301683677086</v>
      </c>
      <c r="R34">
        <v>55.774872590294699</v>
      </c>
      <c r="T34">
        <v>101.45819851855566</v>
      </c>
      <c r="V34">
        <v>70.400000000000006</v>
      </c>
      <c r="W34">
        <v>3.3166666666670639</v>
      </c>
    </row>
    <row r="35" spans="1:23" x14ac:dyDescent="0.3">
      <c r="A35" t="s">
        <v>125</v>
      </c>
      <c r="B35" s="2" t="s">
        <v>92</v>
      </c>
      <c r="C35">
        <v>4.4869897798575522</v>
      </c>
      <c r="D35">
        <v>19.7</v>
      </c>
      <c r="F35">
        <v>30.003</v>
      </c>
      <c r="H35">
        <v>58.326999999999998</v>
      </c>
      <c r="I35">
        <v>5.2001913805765501</v>
      </c>
      <c r="J35">
        <v>18.552903518649575</v>
      </c>
      <c r="L35">
        <v>22.085779013489855</v>
      </c>
      <c r="M35">
        <v>1003860</v>
      </c>
      <c r="Q35">
        <v>-0.59839698955108334</v>
      </c>
      <c r="R35">
        <v>60.512511584800741</v>
      </c>
      <c r="T35">
        <v>101.98325616794574</v>
      </c>
      <c r="V35">
        <v>70.567999999999998</v>
      </c>
      <c r="W35">
        <v>3.5166962413288578</v>
      </c>
    </row>
    <row r="36" spans="1:23" x14ac:dyDescent="0.3">
      <c r="A36" t="s">
        <v>125</v>
      </c>
      <c r="B36" s="2" t="s">
        <v>93</v>
      </c>
      <c r="C36">
        <v>4.9714766996475674</v>
      </c>
      <c r="D36">
        <v>16.893999999999998</v>
      </c>
      <c r="E36">
        <v>14.6</v>
      </c>
      <c r="F36">
        <v>29.65</v>
      </c>
      <c r="H36">
        <v>58.720999999999997</v>
      </c>
      <c r="I36">
        <v>4.7910340270283296</v>
      </c>
      <c r="J36">
        <v>17.540914090927867</v>
      </c>
      <c r="L36">
        <v>22.619512083170772</v>
      </c>
      <c r="M36">
        <v>1064262</v>
      </c>
      <c r="Q36">
        <v>4.5776079316655956E-2</v>
      </c>
      <c r="R36">
        <v>64.351547976958216</v>
      </c>
      <c r="V36">
        <v>70.738</v>
      </c>
      <c r="W36">
        <v>2.353124513012733</v>
      </c>
    </row>
    <row r="37" spans="1:23" x14ac:dyDescent="0.3">
      <c r="A37" t="s">
        <v>125</v>
      </c>
      <c r="B37" s="2" t="s">
        <v>94</v>
      </c>
      <c r="C37">
        <v>6.2008744437381864</v>
      </c>
      <c r="D37">
        <v>14.6</v>
      </c>
      <c r="E37">
        <v>13.7</v>
      </c>
      <c r="F37">
        <v>30.103000000000002</v>
      </c>
      <c r="H37">
        <v>60.502000000000002</v>
      </c>
      <c r="I37">
        <v>4.0954874541813098</v>
      </c>
      <c r="J37">
        <v>18.490919149488896</v>
      </c>
      <c r="L37">
        <v>23.570958915731648</v>
      </c>
      <c r="M37">
        <v>1114806</v>
      </c>
      <c r="O37">
        <v>2.3199999999999998E-2</v>
      </c>
      <c r="Q37">
        <v>0.19781341158418925</v>
      </c>
      <c r="R37">
        <v>68.7004687466859</v>
      </c>
      <c r="V37">
        <v>70.915000000000006</v>
      </c>
      <c r="W37">
        <v>6.5012180267958577</v>
      </c>
    </row>
    <row r="38" spans="1:23" x14ac:dyDescent="0.3">
      <c r="A38" t="s">
        <v>125</v>
      </c>
      <c r="B38" s="2" t="s">
        <v>95</v>
      </c>
      <c r="C38">
        <v>2.0870207816802804</v>
      </c>
      <c r="D38">
        <v>13.7</v>
      </c>
      <c r="F38">
        <v>24.370999999999999</v>
      </c>
      <c r="H38">
        <v>49.485999999999997</v>
      </c>
      <c r="I38">
        <v>3.3200450311043301</v>
      </c>
      <c r="J38">
        <v>22.290088769443816</v>
      </c>
      <c r="K38">
        <v>7.4769101142883301</v>
      </c>
      <c r="L38">
        <v>24.515432852838178</v>
      </c>
      <c r="M38">
        <v>1155940</v>
      </c>
      <c r="O38">
        <v>4.4900000000000002E-2</v>
      </c>
      <c r="Q38">
        <v>0.22395960583109373</v>
      </c>
      <c r="R38">
        <v>69.199649808616343</v>
      </c>
      <c r="T38">
        <v>102.341665629414</v>
      </c>
      <c r="V38">
        <v>71.105000000000004</v>
      </c>
      <c r="W38">
        <v>3.0378842030025028</v>
      </c>
    </row>
    <row r="39" spans="1:23" x14ac:dyDescent="0.3">
      <c r="A39" t="s">
        <v>125</v>
      </c>
      <c r="B39" s="2" t="s">
        <v>96</v>
      </c>
      <c r="C39">
        <v>3.3084753830473659</v>
      </c>
      <c r="D39">
        <v>13.74</v>
      </c>
      <c r="F39">
        <v>23.664999999999999</v>
      </c>
      <c r="H39">
        <v>48.551000000000002</v>
      </c>
      <c r="I39">
        <v>2.6866094816877699</v>
      </c>
      <c r="J39">
        <v>22.842738403441469</v>
      </c>
      <c r="K39">
        <v>6.3648200035095197</v>
      </c>
      <c r="L39">
        <v>25.548439841940318</v>
      </c>
      <c r="M39">
        <v>1187549</v>
      </c>
      <c r="O39">
        <v>0.59899999999999998</v>
      </c>
      <c r="Q39">
        <v>4.981215813754301</v>
      </c>
      <c r="R39">
        <v>69.822552702781621</v>
      </c>
      <c r="S39">
        <v>10.95795267951865</v>
      </c>
      <c r="T39">
        <v>98.498741888491708</v>
      </c>
      <c r="V39">
        <v>71.323999999999998</v>
      </c>
      <c r="W39">
        <v>3.0916666666670332</v>
      </c>
    </row>
    <row r="40" spans="1:23" x14ac:dyDescent="0.3">
      <c r="A40" t="s">
        <v>125</v>
      </c>
      <c r="B40" s="2" t="s">
        <v>97</v>
      </c>
      <c r="C40">
        <v>3.012172690465647</v>
      </c>
      <c r="D40">
        <v>13.840999999999999</v>
      </c>
      <c r="F40">
        <v>23.03</v>
      </c>
      <c r="H40">
        <v>47.673999999999999</v>
      </c>
      <c r="I40">
        <v>2.3114138594789</v>
      </c>
      <c r="J40">
        <v>19.498021319833104</v>
      </c>
      <c r="L40">
        <v>24.368070162929158</v>
      </c>
      <c r="M40">
        <v>1215637</v>
      </c>
      <c r="O40">
        <v>1.31</v>
      </c>
      <c r="Q40">
        <v>3.9181432493136952</v>
      </c>
      <c r="R40">
        <v>68.9581090234946</v>
      </c>
      <c r="S40">
        <v>6.230650638053616</v>
      </c>
      <c r="T40">
        <v>102.39081990727712</v>
      </c>
      <c r="V40">
        <v>71.521000000000001</v>
      </c>
      <c r="W40">
        <v>0.60625656777942671</v>
      </c>
    </row>
    <row r="41" spans="1:23" x14ac:dyDescent="0.3">
      <c r="A41" t="s">
        <v>125</v>
      </c>
      <c r="B41" s="2" t="s">
        <v>98</v>
      </c>
      <c r="C41">
        <v>3.3895307940508843</v>
      </c>
      <c r="D41">
        <v>13.763</v>
      </c>
      <c r="E41">
        <v>13.7</v>
      </c>
      <c r="F41">
        <v>22.140999999999998</v>
      </c>
      <c r="H41">
        <v>46.308</v>
      </c>
      <c r="I41">
        <v>2.14859183776887</v>
      </c>
      <c r="J41">
        <v>20.417769932333123</v>
      </c>
      <c r="K41">
        <v>4.9436697959899902</v>
      </c>
      <c r="L41">
        <v>23.998407836214803</v>
      </c>
      <c r="M41">
        <v>1243653</v>
      </c>
      <c r="O41">
        <v>2.5299999999999998</v>
      </c>
      <c r="Q41">
        <v>1.9382863471955412</v>
      </c>
      <c r="R41">
        <v>71.182579651454574</v>
      </c>
      <c r="S41">
        <v>12.746613421860877</v>
      </c>
      <c r="T41">
        <v>100.40493943894316</v>
      </c>
      <c r="V41">
        <v>71.736999999999995</v>
      </c>
      <c r="W41">
        <v>0.66688092559795986</v>
      </c>
    </row>
    <row r="42" spans="1:23" x14ac:dyDescent="0.3">
      <c r="A42" t="s">
        <v>125</v>
      </c>
      <c r="B42" s="2" t="s">
        <v>99</v>
      </c>
      <c r="C42">
        <v>4.2457119207917913</v>
      </c>
      <c r="D42">
        <v>13.7</v>
      </c>
      <c r="E42">
        <v>14.7</v>
      </c>
      <c r="F42">
        <v>21.271999999999998</v>
      </c>
      <c r="H42">
        <v>44.966000000000001</v>
      </c>
      <c r="I42">
        <v>2.0726047905142901</v>
      </c>
      <c r="J42">
        <v>21.808058412656113</v>
      </c>
      <c r="L42">
        <v>23.698468001400304</v>
      </c>
      <c r="M42">
        <v>1272412</v>
      </c>
      <c r="N42">
        <v>39.4</v>
      </c>
      <c r="O42">
        <v>2.6232799999999998</v>
      </c>
      <c r="Q42">
        <v>10.794005367829691</v>
      </c>
      <c r="R42">
        <v>71.867237901545337</v>
      </c>
      <c r="S42">
        <v>12.263792349828089</v>
      </c>
      <c r="T42">
        <v>97.987413974219436</v>
      </c>
      <c r="V42">
        <v>71.926000000000002</v>
      </c>
      <c r="W42">
        <v>1.772204373510166</v>
      </c>
    </row>
    <row r="43" spans="1:23" x14ac:dyDescent="0.3">
      <c r="A43" t="s">
        <v>125</v>
      </c>
      <c r="B43" s="2" t="s">
        <v>100</v>
      </c>
      <c r="C43">
        <v>5.269957575135706</v>
      </c>
      <c r="D43">
        <v>14.7</v>
      </c>
      <c r="E43">
        <v>15.3</v>
      </c>
      <c r="F43">
        <v>20.597999999999999</v>
      </c>
      <c r="H43">
        <v>43.816000000000003</v>
      </c>
      <c r="I43">
        <v>2.0568547225817002</v>
      </c>
      <c r="J43">
        <v>22.408373656947933</v>
      </c>
      <c r="L43">
        <v>22.917485110863179</v>
      </c>
      <c r="M43">
        <v>1284269</v>
      </c>
      <c r="N43">
        <v>38.799999999999997</v>
      </c>
      <c r="O43">
        <v>4.7057200000000003</v>
      </c>
      <c r="Q43">
        <v>3.0485051422707055</v>
      </c>
      <c r="R43">
        <v>75.49381649040653</v>
      </c>
      <c r="S43">
        <v>10.083883806220907</v>
      </c>
      <c r="T43">
        <v>101.03526238546665</v>
      </c>
      <c r="V43">
        <v>72.141000000000005</v>
      </c>
      <c r="W43">
        <v>1.832993890020495</v>
      </c>
    </row>
    <row r="44" spans="1:23" x14ac:dyDescent="0.3">
      <c r="A44" t="s">
        <v>125</v>
      </c>
      <c r="B44" s="2" t="s">
        <v>101</v>
      </c>
      <c r="C44">
        <v>5.7838079267929601</v>
      </c>
      <c r="D44">
        <v>15.3</v>
      </c>
      <c r="E44">
        <v>14.5</v>
      </c>
      <c r="F44">
        <v>22.111000000000001</v>
      </c>
      <c r="H44">
        <v>47.265999999999998</v>
      </c>
      <c r="I44">
        <v>2.10844376833598</v>
      </c>
      <c r="J44">
        <v>22.279957538799071</v>
      </c>
      <c r="L44">
        <v>22.690609361201059</v>
      </c>
      <c r="M44">
        <v>1304262</v>
      </c>
      <c r="N44">
        <v>38.4</v>
      </c>
      <c r="O44">
        <v>6.0255299999999998</v>
      </c>
      <c r="Q44">
        <v>2.4860173410015141</v>
      </c>
      <c r="R44">
        <v>72.525758021783929</v>
      </c>
      <c r="S44">
        <v>9.1698804980755177</v>
      </c>
      <c r="U44">
        <v>32.278400421142599</v>
      </c>
      <c r="V44">
        <v>72.358999999999995</v>
      </c>
      <c r="W44">
        <v>1.629999999999981</v>
      </c>
    </row>
    <row r="45" spans="1:23" x14ac:dyDescent="0.3">
      <c r="A45" t="s">
        <v>125</v>
      </c>
      <c r="B45" s="2" t="s">
        <v>102</v>
      </c>
      <c r="C45">
        <v>4.161667555444069</v>
      </c>
      <c r="D45">
        <v>14.5</v>
      </c>
      <c r="F45">
        <v>20.920999999999999</v>
      </c>
      <c r="H45">
        <v>44.652000000000001</v>
      </c>
      <c r="I45">
        <v>2.2146207739404402</v>
      </c>
      <c r="J45">
        <v>21.588944070164818</v>
      </c>
      <c r="L45">
        <v>23.18535836319117</v>
      </c>
      <c r="M45">
        <v>1305437</v>
      </c>
      <c r="N45">
        <v>37.4</v>
      </c>
      <c r="O45">
        <v>8.4660100000000007</v>
      </c>
      <c r="Q45">
        <v>5.3647267143469737</v>
      </c>
      <c r="R45">
        <v>70.593606042580276</v>
      </c>
      <c r="S45">
        <v>6.9991141668084413</v>
      </c>
      <c r="T45">
        <v>100.35088367282872</v>
      </c>
      <c r="U45">
        <v>36.055820465087898</v>
      </c>
      <c r="V45">
        <v>72.584999999999994</v>
      </c>
      <c r="W45">
        <v>3.3618682147660111</v>
      </c>
    </row>
    <row r="46" spans="1:23" x14ac:dyDescent="0.3">
      <c r="A46" t="s">
        <v>125</v>
      </c>
      <c r="B46" s="2" t="s">
        <v>103</v>
      </c>
      <c r="C46">
        <v>8.5672142423689905</v>
      </c>
      <c r="D46">
        <v>14.625999999999999</v>
      </c>
      <c r="E46">
        <v>14.8</v>
      </c>
      <c r="F46">
        <v>23.532</v>
      </c>
      <c r="H46">
        <v>51.194000000000003</v>
      </c>
      <c r="I46">
        <v>2.41295841696554</v>
      </c>
      <c r="J46">
        <v>20.044741623305221</v>
      </c>
      <c r="L46">
        <v>21.29676550198371</v>
      </c>
      <c r="M46">
        <v>1361612</v>
      </c>
      <c r="O46">
        <v>11.6587</v>
      </c>
      <c r="Q46">
        <v>8.2092227069917971</v>
      </c>
      <c r="R46">
        <v>74.472555587141116</v>
      </c>
      <c r="S46">
        <v>5.0066280467449404</v>
      </c>
      <c r="U46">
        <v>40.467830657958999</v>
      </c>
      <c r="V46">
        <v>72.787999999999997</v>
      </c>
      <c r="W46">
        <v>3.4936853461953081</v>
      </c>
    </row>
    <row r="47" spans="1:23" x14ac:dyDescent="0.3">
      <c r="A47" t="s">
        <v>125</v>
      </c>
      <c r="B47" s="2" t="s">
        <v>5</v>
      </c>
      <c r="C47">
        <v>8.1465948107993142</v>
      </c>
      <c r="D47">
        <v>14.8</v>
      </c>
      <c r="E47">
        <v>14</v>
      </c>
      <c r="F47">
        <v>26.167000000000002</v>
      </c>
      <c r="H47">
        <v>57.987000000000002</v>
      </c>
      <c r="I47">
        <v>2.4771306814281902</v>
      </c>
      <c r="J47">
        <v>19.230079770547583</v>
      </c>
      <c r="L47">
        <v>19.530339697051179</v>
      </c>
      <c r="M47">
        <v>1421908</v>
      </c>
      <c r="N47">
        <v>38.299999999999997</v>
      </c>
      <c r="O47">
        <v>12.9329</v>
      </c>
      <c r="Q47">
        <v>15.763646141435814</v>
      </c>
      <c r="R47">
        <v>87.887873084162408</v>
      </c>
      <c r="S47">
        <v>5.4900361978485037</v>
      </c>
      <c r="T47">
        <v>104.68741056608107</v>
      </c>
      <c r="U47">
        <v>39.707489013671903</v>
      </c>
      <c r="V47">
        <v>72.977000000000004</v>
      </c>
      <c r="W47">
        <v>6.2517246665644324</v>
      </c>
    </row>
    <row r="48" spans="1:23" x14ac:dyDescent="0.3">
      <c r="A48" t="s">
        <v>125</v>
      </c>
      <c r="B48" s="2" t="s">
        <v>6</v>
      </c>
      <c r="C48">
        <v>8.0929752781193258</v>
      </c>
      <c r="D48">
        <v>14</v>
      </c>
      <c r="E48">
        <v>13.1</v>
      </c>
      <c r="F48">
        <v>25.337</v>
      </c>
      <c r="H48">
        <v>56.265000000000001</v>
      </c>
      <c r="I48">
        <v>6.3887072430285397</v>
      </c>
      <c r="J48">
        <v>18.555744983794483</v>
      </c>
      <c r="L48">
        <v>20.639039286584111</v>
      </c>
      <c r="M48">
        <v>1503278</v>
      </c>
      <c r="N48">
        <v>37.700000000000003</v>
      </c>
      <c r="O48">
        <v>13.867100000000001</v>
      </c>
      <c r="Q48">
        <v>23.537291342713136</v>
      </c>
      <c r="R48">
        <v>91.602750248234258</v>
      </c>
      <c r="S48">
        <v>-2.2332855507965585</v>
      </c>
      <c r="T48">
        <v>100.81335944633018</v>
      </c>
      <c r="U48">
        <v>37.866401672363303</v>
      </c>
      <c r="V48">
        <v>73.224999999999994</v>
      </c>
      <c r="W48">
        <v>4.7439063902164751</v>
      </c>
    </row>
    <row r="49" spans="1:23" x14ac:dyDescent="0.3">
      <c r="A49" t="s">
        <v>125</v>
      </c>
      <c r="B49" s="2" t="s">
        <v>7</v>
      </c>
      <c r="C49">
        <v>8.1761699520464646</v>
      </c>
      <c r="D49">
        <v>13.1</v>
      </c>
      <c r="E49">
        <v>12.7</v>
      </c>
      <c r="F49">
        <v>25.934000000000001</v>
      </c>
      <c r="H49">
        <v>59.328000000000003</v>
      </c>
      <c r="I49">
        <v>6.0352998268103502</v>
      </c>
      <c r="J49">
        <v>19.440627103193684</v>
      </c>
      <c r="L49">
        <v>20.602903233783685</v>
      </c>
      <c r="M49">
        <v>1699178</v>
      </c>
      <c r="N49">
        <v>39.799999999999997</v>
      </c>
      <c r="O49">
        <v>20</v>
      </c>
      <c r="P49">
        <v>1.1335350703510998</v>
      </c>
      <c r="Q49">
        <v>15.324826260995856</v>
      </c>
      <c r="R49">
        <v>91.485166470205172</v>
      </c>
      <c r="S49">
        <v>3.4533894775559029</v>
      </c>
      <c r="T49">
        <v>101.6752483383365</v>
      </c>
      <c r="U49">
        <v>38.733840942382798</v>
      </c>
      <c r="V49">
        <v>73.406999999999996</v>
      </c>
      <c r="W49">
        <v>13.971231001272921</v>
      </c>
    </row>
    <row r="50" spans="1:23" x14ac:dyDescent="0.3">
      <c r="A50" t="s">
        <v>125</v>
      </c>
      <c r="B50" s="2" t="s">
        <v>8</v>
      </c>
      <c r="C50">
        <v>7.2203863728013857</v>
      </c>
      <c r="D50">
        <v>12.7</v>
      </c>
      <c r="E50">
        <v>12.9</v>
      </c>
      <c r="F50">
        <v>24.774999999999999</v>
      </c>
      <c r="H50">
        <v>57.014000000000003</v>
      </c>
      <c r="I50">
        <v>2.35427976058258</v>
      </c>
      <c r="J50">
        <v>15.491435185397462</v>
      </c>
      <c r="L50">
        <v>18.376702246988724</v>
      </c>
      <c r="M50">
        <v>1740167</v>
      </c>
      <c r="N50">
        <v>39.5</v>
      </c>
      <c r="O50">
        <v>23</v>
      </c>
      <c r="P50">
        <v>0.91723112930160666</v>
      </c>
      <c r="Q50">
        <v>12.475307504909368</v>
      </c>
      <c r="R50">
        <v>78.31646770802972</v>
      </c>
      <c r="S50">
        <v>-11.807661627891639</v>
      </c>
      <c r="T50">
        <v>101.45148865433218</v>
      </c>
      <c r="U50">
        <v>41.3684692382812</v>
      </c>
      <c r="V50">
        <v>73.563000000000002</v>
      </c>
      <c r="W50">
        <v>-0.7390697431447768</v>
      </c>
    </row>
    <row r="51" spans="1:23" x14ac:dyDescent="0.3">
      <c r="A51" t="s">
        <v>125</v>
      </c>
      <c r="B51" s="2" t="s">
        <v>9</v>
      </c>
      <c r="C51">
        <v>5.0237100727266863</v>
      </c>
      <c r="D51">
        <v>12.9</v>
      </c>
      <c r="E51">
        <v>12.5</v>
      </c>
      <c r="F51">
        <v>24.481000000000002</v>
      </c>
      <c r="H51">
        <v>57.017000000000003</v>
      </c>
      <c r="I51">
        <v>2.1496878605350398</v>
      </c>
      <c r="J51">
        <v>14.12188756536889</v>
      </c>
      <c r="L51">
        <v>20.921952678847969</v>
      </c>
      <c r="M51">
        <v>1818880</v>
      </c>
      <c r="N51">
        <v>40.1</v>
      </c>
      <c r="O51">
        <v>26</v>
      </c>
      <c r="P51">
        <v>1.4139174689055483</v>
      </c>
      <c r="Q51">
        <v>9.8341787447654703</v>
      </c>
      <c r="R51">
        <v>73.210934839912909</v>
      </c>
      <c r="S51">
        <v>5.8985808610265664</v>
      </c>
      <c r="T51">
        <v>100.58797721107928</v>
      </c>
      <c r="U51">
        <v>42.063018798828097</v>
      </c>
      <c r="V51">
        <v>73.706999999999994</v>
      </c>
      <c r="W51">
        <v>4.8455187585211608</v>
      </c>
    </row>
    <row r="52" spans="1:23" x14ac:dyDescent="0.3">
      <c r="A52" t="s">
        <v>125</v>
      </c>
      <c r="B52" s="2" t="s">
        <v>10</v>
      </c>
      <c r="C52">
        <v>2.3148342206304591</v>
      </c>
      <c r="D52">
        <v>12.5</v>
      </c>
      <c r="E52">
        <v>12.9</v>
      </c>
      <c r="F52">
        <v>21.91</v>
      </c>
      <c r="H52">
        <v>50.866999999999997</v>
      </c>
      <c r="I52">
        <v>2.1510933174678102</v>
      </c>
      <c r="J52">
        <v>13.352192403208271</v>
      </c>
      <c r="K52">
        <v>3.16850989003323</v>
      </c>
      <c r="L52">
        <v>19.24733873618797</v>
      </c>
      <c r="M52">
        <v>1844829</v>
      </c>
      <c r="N52">
        <v>39.5</v>
      </c>
      <c r="O52">
        <v>27.2</v>
      </c>
      <c r="P52">
        <v>2.8620532442926039</v>
      </c>
      <c r="Q52">
        <v>6.2224756697391177</v>
      </c>
      <c r="R52">
        <v>71.156342011090473</v>
      </c>
      <c r="S52">
        <v>0.87595563748754024</v>
      </c>
      <c r="T52">
        <v>103.19681226672053</v>
      </c>
      <c r="U52">
        <v>37.758133745582803</v>
      </c>
      <c r="V52">
        <v>73.796999999999997</v>
      </c>
      <c r="W52">
        <v>4.1624416292779003</v>
      </c>
    </row>
    <row r="53" spans="1:23" x14ac:dyDescent="0.3">
      <c r="A53" t="s">
        <v>125</v>
      </c>
      <c r="B53" s="2" t="s">
        <v>11</v>
      </c>
      <c r="C53">
        <v>2.7371798863210444</v>
      </c>
      <c r="D53">
        <v>12.9</v>
      </c>
      <c r="E53">
        <v>12.2</v>
      </c>
      <c r="F53">
        <v>21.352</v>
      </c>
      <c r="H53">
        <v>49.543999999999997</v>
      </c>
      <c r="I53">
        <v>2.4820277273067899</v>
      </c>
      <c r="J53">
        <v>12.477730154525792</v>
      </c>
      <c r="K53">
        <v>3.5990058059847798</v>
      </c>
      <c r="L53">
        <v>20.064739650533582</v>
      </c>
      <c r="M53">
        <v>1881260</v>
      </c>
      <c r="N53">
        <v>39</v>
      </c>
      <c r="O53">
        <v>34.9</v>
      </c>
      <c r="P53">
        <v>2.5505838656618587</v>
      </c>
      <c r="Q53">
        <v>5.0333587268848925</v>
      </c>
      <c r="R53">
        <v>71.73254146656808</v>
      </c>
      <c r="S53">
        <v>2.646406244255612</v>
      </c>
      <c r="T53">
        <v>97.08793660667196</v>
      </c>
      <c r="U53">
        <v>37.421638632728502</v>
      </c>
      <c r="V53">
        <v>73.929000000000002</v>
      </c>
      <c r="W53">
        <v>4.5152295667099027</v>
      </c>
    </row>
    <row r="54" spans="1:23" x14ac:dyDescent="0.3">
      <c r="A54" t="s">
        <v>125</v>
      </c>
      <c r="B54" s="2" t="s">
        <v>12</v>
      </c>
      <c r="C54">
        <v>2.4293580010023845</v>
      </c>
      <c r="D54">
        <v>12.2</v>
      </c>
      <c r="E54">
        <v>12.6</v>
      </c>
      <c r="F54">
        <v>20.125</v>
      </c>
      <c r="H54">
        <v>46.491</v>
      </c>
      <c r="I54">
        <v>1.4163520503068201</v>
      </c>
      <c r="J54">
        <v>12.164890719362411</v>
      </c>
      <c r="K54">
        <v>3.6371600845123102</v>
      </c>
      <c r="L54">
        <v>19.113521889332414</v>
      </c>
      <c r="M54">
        <v>1872113</v>
      </c>
      <c r="N54">
        <v>38</v>
      </c>
      <c r="O54">
        <v>37</v>
      </c>
      <c r="P54">
        <v>2.3677929277391452</v>
      </c>
      <c r="Q54">
        <v>4.8948068868232069</v>
      </c>
      <c r="R54">
        <v>71.199894812852833</v>
      </c>
      <c r="S54">
        <v>3.9901970998534675</v>
      </c>
      <c r="T54">
        <v>103.44625066186268</v>
      </c>
      <c r="U54">
        <v>43.916146412934701</v>
      </c>
      <c r="V54">
        <v>74.087000000000003</v>
      </c>
      <c r="W54">
        <v>4.8246231426953718</v>
      </c>
    </row>
    <row r="55" spans="1:23" x14ac:dyDescent="0.3">
      <c r="A55" t="s">
        <v>125</v>
      </c>
      <c r="B55" s="2" t="s">
        <v>13</v>
      </c>
      <c r="C55">
        <v>2.6099473754863141</v>
      </c>
      <c r="D55">
        <v>12.6</v>
      </c>
      <c r="E55">
        <v>11.9</v>
      </c>
      <c r="F55">
        <v>22.314</v>
      </c>
      <c r="H55">
        <v>51.356999999999999</v>
      </c>
      <c r="I55">
        <v>5.1964146786842704</v>
      </c>
      <c r="J55">
        <v>15.506903840456385</v>
      </c>
      <c r="K55">
        <v>3.78372228032099</v>
      </c>
      <c r="L55">
        <v>18.264576991395355</v>
      </c>
      <c r="M55">
        <v>1931174</v>
      </c>
      <c r="N55">
        <v>37.1</v>
      </c>
      <c r="O55">
        <v>41.4</v>
      </c>
      <c r="P55">
        <v>1.6859746697092357</v>
      </c>
      <c r="Q55">
        <v>5.6497716871458801</v>
      </c>
      <c r="R55">
        <v>70.442892486822515</v>
      </c>
      <c r="S55">
        <v>2.7004694257858719</v>
      </c>
      <c r="T55">
        <v>98.221687804666928</v>
      </c>
      <c r="V55">
        <v>74.281999999999996</v>
      </c>
      <c r="W55">
        <v>2.8994790500605698</v>
      </c>
    </row>
    <row r="56" spans="1:23" x14ac:dyDescent="0.3">
      <c r="A56" t="s">
        <v>125</v>
      </c>
      <c r="B56" s="2" t="s">
        <v>14</v>
      </c>
      <c r="C56">
        <v>3.3840780993347153</v>
      </c>
      <c r="D56">
        <v>11.9</v>
      </c>
      <c r="E56">
        <v>13.074999999999999</v>
      </c>
      <c r="F56">
        <v>20.879000000000001</v>
      </c>
      <c r="H56">
        <v>47.753</v>
      </c>
      <c r="I56">
        <v>9.5392089864156109</v>
      </c>
      <c r="J56">
        <v>17.28663681357817</v>
      </c>
      <c r="K56">
        <v>3.76692408663556</v>
      </c>
      <c r="L56">
        <v>18.221204574975612</v>
      </c>
      <c r="M56">
        <v>2081895</v>
      </c>
      <c r="N56">
        <v>36.4</v>
      </c>
      <c r="O56">
        <v>46.2</v>
      </c>
      <c r="P56">
        <v>1.806711969777397</v>
      </c>
      <c r="Q56">
        <v>5.9120489020588938</v>
      </c>
      <c r="R56">
        <v>66.578194482320356</v>
      </c>
      <c r="S56">
        <v>5.3600068575924835</v>
      </c>
      <c r="T56">
        <v>102.39351137903643</v>
      </c>
      <c r="V56">
        <v>74.605999999999995</v>
      </c>
      <c r="W56">
        <v>-0.87685135970404904</v>
      </c>
    </row>
    <row r="57" spans="1:23" x14ac:dyDescent="0.3">
      <c r="A57" t="s">
        <v>125</v>
      </c>
      <c r="B57" s="2" t="s">
        <v>15</v>
      </c>
      <c r="C57">
        <v>2.4965287931518816</v>
      </c>
      <c r="D57">
        <v>13.074999999999999</v>
      </c>
      <c r="E57">
        <v>15.275</v>
      </c>
      <c r="F57">
        <v>22.759</v>
      </c>
      <c r="G57">
        <v>30.9</v>
      </c>
      <c r="H57">
        <v>52.999000000000002</v>
      </c>
      <c r="I57">
        <v>8.2179832920546598</v>
      </c>
      <c r="J57">
        <v>13.860386606636116</v>
      </c>
      <c r="K57">
        <v>3.7127213335162899</v>
      </c>
      <c r="L57">
        <v>17.823260685277472</v>
      </c>
      <c r="M57">
        <v>2343249</v>
      </c>
      <c r="O57">
        <v>54.22</v>
      </c>
      <c r="P57">
        <v>2.5770431127431306</v>
      </c>
      <c r="Q57">
        <v>4.1472022917493749</v>
      </c>
      <c r="R57">
        <v>66.62631070246799</v>
      </c>
      <c r="S57">
        <v>6.1729762664922081</v>
      </c>
      <c r="T57">
        <v>101.50264937165711</v>
      </c>
      <c r="U57">
        <v>36.628427876253902</v>
      </c>
      <c r="V57">
        <v>75.06</v>
      </c>
      <c r="W57">
        <v>-0.77843046305414176</v>
      </c>
    </row>
    <row r="58" spans="1:23" x14ac:dyDescent="0.3">
      <c r="A58" t="s">
        <v>125</v>
      </c>
      <c r="B58" s="2" t="s">
        <v>16</v>
      </c>
      <c r="C58">
        <v>1.9941808493012019</v>
      </c>
      <c r="D58">
        <v>15.275</v>
      </c>
      <c r="E58">
        <v>18.12</v>
      </c>
      <c r="F58">
        <v>24.082000000000001</v>
      </c>
      <c r="G58">
        <v>35.625</v>
      </c>
      <c r="H58">
        <v>53.9</v>
      </c>
      <c r="I58">
        <v>4.7232525440123201</v>
      </c>
      <c r="J58">
        <v>10.966077033838394</v>
      </c>
      <c r="K58">
        <v>3.45282006263733</v>
      </c>
      <c r="L58">
        <v>17.250564194248089</v>
      </c>
      <c r="M58">
        <v>2553453</v>
      </c>
      <c r="O58">
        <v>56.15</v>
      </c>
      <c r="P58">
        <v>3.3778266796451635</v>
      </c>
      <c r="Q58">
        <v>3.8928514286897054</v>
      </c>
      <c r="R58">
        <v>70.872254083920126</v>
      </c>
      <c r="S58">
        <v>6.6622530294973314</v>
      </c>
      <c r="T58">
        <v>101.25610438224733</v>
      </c>
      <c r="U58">
        <v>34.061263563699498</v>
      </c>
      <c r="V58">
        <v>75.55</v>
      </c>
      <c r="W58">
        <v>3.323894475760973</v>
      </c>
    </row>
    <row r="59" spans="1:23" x14ac:dyDescent="0.3">
      <c r="A59" t="s">
        <v>125</v>
      </c>
      <c r="B59" s="2" t="s">
        <v>17</v>
      </c>
      <c r="C59">
        <v>2.4735981544904462</v>
      </c>
      <c r="D59">
        <v>18.12</v>
      </c>
      <c r="E59">
        <v>18.257000000000001</v>
      </c>
      <c r="F59">
        <v>27.335999999999999</v>
      </c>
      <c r="G59">
        <v>35.244</v>
      </c>
      <c r="H59">
        <v>48.944000000000003</v>
      </c>
      <c r="I59">
        <v>2.25160030043779</v>
      </c>
      <c r="J59">
        <v>10.65161843619231</v>
      </c>
      <c r="K59">
        <v>3.2130599021911599</v>
      </c>
      <c r="L59">
        <v>16.945371942536234</v>
      </c>
      <c r="M59">
        <v>2712693</v>
      </c>
      <c r="N59">
        <v>40.225999999999999</v>
      </c>
      <c r="O59">
        <v>64.5</v>
      </c>
      <c r="P59">
        <v>1.8128194255495462</v>
      </c>
      <c r="Q59">
        <v>4.8781413316797657</v>
      </c>
      <c r="R59">
        <v>74.415497065568331</v>
      </c>
      <c r="S59">
        <v>6.4939601895351986</v>
      </c>
      <c r="T59">
        <v>98.861658268438134</v>
      </c>
      <c r="U59">
        <v>28.621057099162201</v>
      </c>
      <c r="V59">
        <v>76.070999999999998</v>
      </c>
      <c r="W59">
        <v>4.4623110847548118</v>
      </c>
    </row>
    <row r="60" spans="1:23" x14ac:dyDescent="0.3">
      <c r="A60" t="s">
        <v>125</v>
      </c>
      <c r="B60" s="2" t="s">
        <v>18</v>
      </c>
      <c r="C60">
        <v>1.9190709134156378</v>
      </c>
      <c r="D60">
        <v>18.257000000000001</v>
      </c>
      <c r="E60">
        <v>16.800999999999998</v>
      </c>
      <c r="F60">
        <v>24.099</v>
      </c>
      <c r="G60">
        <v>38.868000000000002</v>
      </c>
      <c r="H60">
        <v>49.018000000000001</v>
      </c>
      <c r="I60">
        <v>2.2041299839325901</v>
      </c>
      <c r="J60">
        <v>10.311005496255309</v>
      </c>
      <c r="K60">
        <v>2.9546198844909699</v>
      </c>
      <c r="L60">
        <v>16.74389604695677</v>
      </c>
      <c r="M60">
        <v>2717015</v>
      </c>
      <c r="N60">
        <v>39.176000000000002</v>
      </c>
      <c r="O60">
        <v>65.2</v>
      </c>
      <c r="P60">
        <v>1.5085848071275609</v>
      </c>
      <c r="Q60">
        <v>2.2017768657557562</v>
      </c>
      <c r="R60">
        <v>75.547237468133147</v>
      </c>
      <c r="S60">
        <v>6.2466310140151604</v>
      </c>
      <c r="T60">
        <v>96.998786592636549</v>
      </c>
      <c r="U60">
        <v>31.5562985544301</v>
      </c>
      <c r="V60">
        <v>76.491</v>
      </c>
      <c r="W60">
        <v>0.76151404726560079</v>
      </c>
    </row>
    <row r="61" spans="1:23" x14ac:dyDescent="0.3">
      <c r="A61" t="s">
        <v>125</v>
      </c>
      <c r="B61" s="2" t="s">
        <v>19</v>
      </c>
      <c r="C61">
        <v>1.7512407786622504</v>
      </c>
      <c r="D61">
        <v>16.800999999999998</v>
      </c>
      <c r="E61">
        <v>19.213000000000001</v>
      </c>
      <c r="F61">
        <v>23.992999999999999</v>
      </c>
      <c r="G61">
        <v>37.314999999999998</v>
      </c>
      <c r="H61">
        <v>48.79</v>
      </c>
      <c r="I61">
        <v>1.98343822476301</v>
      </c>
      <c r="J61">
        <v>10.25567682411198</v>
      </c>
      <c r="K61">
        <v>2.9884600639343302</v>
      </c>
      <c r="L61">
        <v>16.371737759954151</v>
      </c>
      <c r="M61">
        <v>2794037</v>
      </c>
      <c r="N61">
        <v>39.241999999999997</v>
      </c>
      <c r="O61">
        <v>70.084699999999998</v>
      </c>
      <c r="P61">
        <v>1.3685438103593568</v>
      </c>
      <c r="Q61">
        <v>1.6397056511564343</v>
      </c>
      <c r="R61">
        <v>76.82734852602853</v>
      </c>
      <c r="S61">
        <v>7.7551631841027078</v>
      </c>
      <c r="T61">
        <v>98.830744793505133</v>
      </c>
      <c r="U61">
        <v>30.110840389455799</v>
      </c>
      <c r="V61">
        <v>76.864999999999995</v>
      </c>
      <c r="W61">
        <v>0.3332943506283782</v>
      </c>
    </row>
    <row r="62" spans="1:23" x14ac:dyDescent="0.3">
      <c r="A62" t="s">
        <v>125</v>
      </c>
      <c r="B62" s="2" t="s">
        <v>20</v>
      </c>
      <c r="C62">
        <v>-1.1027518830904626</v>
      </c>
      <c r="D62">
        <v>19.213000000000001</v>
      </c>
      <c r="E62">
        <v>19.837</v>
      </c>
      <c r="F62">
        <v>25.347999999999999</v>
      </c>
      <c r="G62">
        <v>42.959000000000003</v>
      </c>
      <c r="H62">
        <v>53.104999999999997</v>
      </c>
      <c r="I62">
        <v>1.7954322823906601</v>
      </c>
      <c r="J62">
        <v>11.027717809029413</v>
      </c>
      <c r="K62">
        <v>3.5530348398015801</v>
      </c>
      <c r="L62">
        <v>16.549956438323036</v>
      </c>
      <c r="M62">
        <v>2914902</v>
      </c>
      <c r="N62">
        <v>39.947000000000003</v>
      </c>
      <c r="O62">
        <v>78.4178</v>
      </c>
      <c r="P62">
        <v>1.5438785886305519</v>
      </c>
      <c r="Q62">
        <v>1.7397597829419225</v>
      </c>
      <c r="R62">
        <v>83.061978031194627</v>
      </c>
      <c r="S62">
        <v>8.2478646805441276</v>
      </c>
      <c r="T62">
        <v>93.204106828796711</v>
      </c>
      <c r="U62">
        <v>30.287966560531899</v>
      </c>
      <c r="V62">
        <v>75.582999999999998</v>
      </c>
      <c r="W62">
        <v>1.3460937724311779</v>
      </c>
    </row>
    <row r="63" spans="1:23" x14ac:dyDescent="0.3">
      <c r="A63" t="s">
        <v>125</v>
      </c>
      <c r="B63" s="2" t="s">
        <v>21</v>
      </c>
      <c r="C63">
        <v>3.6556435899914703</v>
      </c>
      <c r="D63">
        <v>19.837</v>
      </c>
      <c r="E63">
        <v>18.2</v>
      </c>
      <c r="F63">
        <v>26.175000000000001</v>
      </c>
      <c r="G63">
        <v>43.738</v>
      </c>
      <c r="H63">
        <v>54.052</v>
      </c>
      <c r="I63">
        <v>1.83419162693059</v>
      </c>
      <c r="J63">
        <v>10.955809799584872</v>
      </c>
      <c r="K63">
        <v>3.1383700370788601</v>
      </c>
      <c r="L63">
        <v>15.841081202498758</v>
      </c>
      <c r="M63">
        <v>2893220</v>
      </c>
      <c r="N63">
        <v>38.67</v>
      </c>
      <c r="O63">
        <v>86</v>
      </c>
      <c r="P63">
        <v>1.7136797029880739</v>
      </c>
      <c r="Q63">
        <v>1.3431606204922586</v>
      </c>
      <c r="R63">
        <v>81.894456451880572</v>
      </c>
      <c r="S63">
        <v>4.7084728712005548</v>
      </c>
      <c r="T63">
        <v>92.33467410836478</v>
      </c>
      <c r="U63">
        <v>30.451314266821001</v>
      </c>
      <c r="V63">
        <v>74.203999999999994</v>
      </c>
      <c r="W63">
        <v>4.2291556889711748</v>
      </c>
    </row>
    <row r="64" spans="1:23" x14ac:dyDescent="0.3">
      <c r="A64" t="s">
        <v>125</v>
      </c>
      <c r="B64" s="2" t="s">
        <v>22</v>
      </c>
      <c r="C64">
        <v>2.6474351491205823</v>
      </c>
      <c r="D64">
        <v>18.2</v>
      </c>
      <c r="E64">
        <v>16.62</v>
      </c>
      <c r="F64">
        <v>26.867999999999999</v>
      </c>
      <c r="G64">
        <v>41.917000000000002</v>
      </c>
      <c r="H64">
        <v>47.743000000000002</v>
      </c>
      <c r="I64">
        <v>1.70151702842564</v>
      </c>
      <c r="J64">
        <v>9.7856565456080631</v>
      </c>
      <c r="K64">
        <v>3.1530001163482702</v>
      </c>
      <c r="M64">
        <v>2957476</v>
      </c>
      <c r="N64">
        <v>38.555</v>
      </c>
      <c r="O64">
        <v>90.5</v>
      </c>
      <c r="P64">
        <v>1.4496882666855755</v>
      </c>
      <c r="Q64">
        <v>1.9738253544076483</v>
      </c>
      <c r="R64">
        <v>84.156883213724456</v>
      </c>
      <c r="S64">
        <v>4.6311069833054006</v>
      </c>
      <c r="T64">
        <v>96.35232793322956</v>
      </c>
      <c r="U64">
        <v>32.5119829829151</v>
      </c>
      <c r="V64">
        <v>77.087999999999994</v>
      </c>
      <c r="W64">
        <v>2.0848698632713392</v>
      </c>
    </row>
    <row r="65" spans="1:23" x14ac:dyDescent="0.3">
      <c r="A65" t="s">
        <v>125</v>
      </c>
      <c r="B65" s="2" t="s">
        <v>23</v>
      </c>
      <c r="C65">
        <v>2.8840833928168337</v>
      </c>
      <c r="D65">
        <v>16.62</v>
      </c>
      <c r="F65">
        <v>23.071999999999999</v>
      </c>
      <c r="G65">
        <v>39.232999999999997</v>
      </c>
      <c r="H65">
        <v>39.857999999999997</v>
      </c>
      <c r="I65">
        <v>1.61225050235636</v>
      </c>
      <c r="J65">
        <v>8.5342141956865998</v>
      </c>
      <c r="K65">
        <v>3.5148631559632499</v>
      </c>
      <c r="M65">
        <v>3156548</v>
      </c>
      <c r="N65">
        <v>40.122999999999998</v>
      </c>
      <c r="O65">
        <v>92.534400000000005</v>
      </c>
      <c r="P65">
        <v>2.084159854271586</v>
      </c>
      <c r="Q65">
        <v>3.9271831379233637</v>
      </c>
      <c r="R65">
        <v>81.735706010982085</v>
      </c>
      <c r="S65">
        <v>6.998599994806189</v>
      </c>
      <c r="U65">
        <v>33.056703696952297</v>
      </c>
      <c r="V65">
        <v>77.813999999999993</v>
      </c>
      <c r="W65">
        <v>1.556596112839526</v>
      </c>
    </row>
    <row r="66" spans="1:23" x14ac:dyDescent="0.3">
      <c r="A66" t="s">
        <v>125</v>
      </c>
      <c r="B66" s="2" t="s">
        <v>104</v>
      </c>
      <c r="C66">
        <v>2.4888940960364749</v>
      </c>
      <c r="D66">
        <v>16.693000000000001</v>
      </c>
      <c r="F66">
        <v>23.135999999999999</v>
      </c>
      <c r="H66">
        <v>40.009</v>
      </c>
      <c r="I66">
        <v>0.98872204214117798</v>
      </c>
      <c r="J66">
        <v>8.3054106874450078</v>
      </c>
      <c r="M66">
        <v>3204396</v>
      </c>
      <c r="Q66">
        <v>3.0638757966525785</v>
      </c>
      <c r="R66">
        <v>80.072859348869201</v>
      </c>
      <c r="S66">
        <v>6.4591580741667771</v>
      </c>
      <c r="U66">
        <v>35.918400112042697</v>
      </c>
    </row>
    <row r="67" spans="1:23" x14ac:dyDescent="0.3">
      <c r="A67" t="s">
        <v>125</v>
      </c>
      <c r="B67" s="2" t="s">
        <v>105</v>
      </c>
      <c r="D67">
        <v>16.535</v>
      </c>
      <c r="F67">
        <v>23.338999999999999</v>
      </c>
      <c r="H67">
        <v>41.756</v>
      </c>
      <c r="M67">
        <v>3220931</v>
      </c>
    </row>
    <row r="68" spans="1:23" x14ac:dyDescent="0.3">
      <c r="A68" t="s">
        <v>127</v>
      </c>
      <c r="B68" s="7">
        <v>1960</v>
      </c>
      <c r="L68">
        <v>15.572091753140359</v>
      </c>
      <c r="N68">
        <v>46.52</v>
      </c>
      <c r="R68">
        <v>16.930638995084653</v>
      </c>
      <c r="V68">
        <v>44.436</v>
      </c>
      <c r="W68">
        <v>44.436</v>
      </c>
    </row>
    <row r="69" spans="1:23" x14ac:dyDescent="0.3">
      <c r="A69" t="s">
        <v>127</v>
      </c>
      <c r="B69" s="2" t="s">
        <v>60</v>
      </c>
      <c r="C69">
        <v>5.1611141434244843</v>
      </c>
      <c r="I69">
        <v>2.5852922578342499</v>
      </c>
      <c r="L69">
        <v>16.34934832609251</v>
      </c>
      <c r="R69">
        <v>16.630462560695118</v>
      </c>
      <c r="V69">
        <v>45.146000000000001</v>
      </c>
      <c r="W69">
        <v>45.146000000000001</v>
      </c>
    </row>
    <row r="70" spans="1:23" x14ac:dyDescent="0.3">
      <c r="A70" t="s">
        <v>127</v>
      </c>
      <c r="B70" s="2" t="s">
        <v>61</v>
      </c>
      <c r="C70">
        <v>3.8756167236963392</v>
      </c>
      <c r="I70">
        <v>2.6320521552290601</v>
      </c>
      <c r="L70">
        <v>15.138148624640078</v>
      </c>
      <c r="R70">
        <v>17.11082521595295</v>
      </c>
      <c r="V70">
        <v>45.844000000000001</v>
      </c>
      <c r="W70">
        <v>45.844000000000001</v>
      </c>
    </row>
    <row r="71" spans="1:23" x14ac:dyDescent="0.3">
      <c r="A71" t="s">
        <v>127</v>
      </c>
      <c r="B71" s="2" t="s">
        <v>62</v>
      </c>
      <c r="C71">
        <v>10.518092617366577</v>
      </c>
      <c r="I71">
        <v>2.62898893480294</v>
      </c>
      <c r="L71">
        <v>17.478714638835484</v>
      </c>
      <c r="R71">
        <v>16.918429003021149</v>
      </c>
      <c r="V71">
        <v>46.493000000000002</v>
      </c>
      <c r="W71">
        <v>46.493000000000002</v>
      </c>
    </row>
    <row r="72" spans="1:23" x14ac:dyDescent="0.3">
      <c r="A72" t="s">
        <v>127</v>
      </c>
      <c r="B72" s="2" t="s">
        <v>63</v>
      </c>
      <c r="C72">
        <v>11.507577474032459</v>
      </c>
      <c r="I72">
        <v>2.6024970324902199</v>
      </c>
      <c r="L72">
        <v>19.623931623931622</v>
      </c>
      <c r="R72">
        <v>15.780219780219781</v>
      </c>
      <c r="V72">
        <v>47.075000000000003</v>
      </c>
      <c r="W72">
        <v>47.075000000000003</v>
      </c>
    </row>
    <row r="73" spans="1:23" x14ac:dyDescent="0.3">
      <c r="A73" t="s">
        <v>127</v>
      </c>
      <c r="B73" s="2" t="s">
        <v>64</v>
      </c>
      <c r="C73">
        <v>4.9140422922366156</v>
      </c>
      <c r="I73">
        <v>2.5469263804356501</v>
      </c>
      <c r="L73">
        <v>19.037740013242111</v>
      </c>
      <c r="R73">
        <v>14.676671816376075</v>
      </c>
      <c r="V73">
        <v>47.576999999999998</v>
      </c>
      <c r="W73">
        <v>47.576999999999998</v>
      </c>
    </row>
    <row r="74" spans="1:23" x14ac:dyDescent="0.3">
      <c r="A74" t="s">
        <v>127</v>
      </c>
      <c r="B74" s="2" t="s">
        <v>65</v>
      </c>
      <c r="C74">
        <v>5.0464037124823307</v>
      </c>
      <c r="I74">
        <v>2.50632298668899</v>
      </c>
      <c r="L74">
        <v>19.707193391403919</v>
      </c>
      <c r="N74">
        <v>43</v>
      </c>
      <c r="R74">
        <v>13.405308142150247</v>
      </c>
      <c r="V74">
        <v>47.988</v>
      </c>
      <c r="W74">
        <v>47.988</v>
      </c>
    </row>
    <row r="75" spans="1:23" x14ac:dyDescent="0.3">
      <c r="A75" t="s">
        <v>127</v>
      </c>
      <c r="B75" s="2" t="s">
        <v>66</v>
      </c>
      <c r="C75">
        <v>0.80526412703920869</v>
      </c>
      <c r="I75">
        <v>2.4837219360040899</v>
      </c>
      <c r="L75">
        <v>19.267792330755878</v>
      </c>
      <c r="R75">
        <v>12.596654568407764</v>
      </c>
      <c r="V75">
        <v>48.13</v>
      </c>
      <c r="W75">
        <v>48.13</v>
      </c>
    </row>
    <row r="76" spans="1:23" x14ac:dyDescent="0.3">
      <c r="A76" t="s">
        <v>127</v>
      </c>
      <c r="B76" s="2" t="s">
        <v>67</v>
      </c>
      <c r="C76">
        <v>-1.6067923495635625</v>
      </c>
      <c r="I76">
        <v>2.46032180928797</v>
      </c>
      <c r="L76">
        <v>22.150452934226074</v>
      </c>
      <c r="R76">
        <v>14.159117762898779</v>
      </c>
      <c r="V76">
        <v>48.601999999999997</v>
      </c>
      <c r="W76">
        <v>48.601999999999997</v>
      </c>
    </row>
    <row r="77" spans="1:23" x14ac:dyDescent="0.3">
      <c r="A77" t="s">
        <v>127</v>
      </c>
      <c r="B77" s="2" t="s">
        <v>68</v>
      </c>
      <c r="C77">
        <v>5.2795175135708945</v>
      </c>
      <c r="I77">
        <v>2.4347761736765201</v>
      </c>
      <c r="L77">
        <v>23.92191790989386</v>
      </c>
      <c r="R77">
        <v>14.740592295702514</v>
      </c>
      <c r="V77">
        <v>48.7</v>
      </c>
      <c r="W77">
        <v>48.7</v>
      </c>
    </row>
    <row r="78" spans="1:23" x14ac:dyDescent="0.3">
      <c r="A78" t="s">
        <v>127</v>
      </c>
      <c r="B78" s="2" t="s">
        <v>69</v>
      </c>
      <c r="C78">
        <v>5.5985150385167231</v>
      </c>
      <c r="D78">
        <v>2.4</v>
      </c>
      <c r="I78">
        <v>2.3742411895118001</v>
      </c>
      <c r="L78">
        <v>22.298225887056471</v>
      </c>
      <c r="Q78">
        <v>8.4553973013493256E-3</v>
      </c>
      <c r="R78">
        <v>11.909670164917541</v>
      </c>
      <c r="V78">
        <v>49</v>
      </c>
      <c r="W78">
        <v>49</v>
      </c>
    </row>
    <row r="79" spans="1:23" x14ac:dyDescent="0.3">
      <c r="A79" t="s">
        <v>127</v>
      </c>
      <c r="B79" s="2" t="s">
        <v>70</v>
      </c>
      <c r="C79">
        <v>4.0573463265311176</v>
      </c>
      <c r="D79">
        <v>1.82</v>
      </c>
      <c r="I79">
        <v>2.3107180635468101</v>
      </c>
      <c r="K79">
        <v>4.5299201011657697</v>
      </c>
      <c r="L79">
        <v>24.33273098912818</v>
      </c>
      <c r="Q79">
        <v>2.6831501614479961E-2</v>
      </c>
      <c r="R79">
        <v>12.355955801759636</v>
      </c>
      <c r="U79">
        <v>7.2074298858642596</v>
      </c>
      <c r="V79">
        <v>49.48</v>
      </c>
      <c r="W79">
        <v>49.48</v>
      </c>
    </row>
    <row r="80" spans="1:23" x14ac:dyDescent="0.3">
      <c r="A80" t="s">
        <v>127</v>
      </c>
      <c r="B80" s="2" t="s">
        <v>71</v>
      </c>
      <c r="C80">
        <v>3.0556806251428554</v>
      </c>
      <c r="D80">
        <v>1.53</v>
      </c>
      <c r="I80">
        <v>2.3015117803563698</v>
      </c>
      <c r="K80">
        <v>4.5378999710082999</v>
      </c>
      <c r="L80">
        <v>25.745739623585667</v>
      </c>
      <c r="Q80">
        <v>3.2259320007784045E-4</v>
      </c>
      <c r="R80">
        <v>11.820633287926386</v>
      </c>
      <c r="U80">
        <v>7.8692698478698704</v>
      </c>
      <c r="V80">
        <v>49.908000000000001</v>
      </c>
      <c r="W80">
        <v>49.908000000000001</v>
      </c>
    </row>
    <row r="81" spans="1:23" x14ac:dyDescent="0.3">
      <c r="A81" t="s">
        <v>127</v>
      </c>
      <c r="B81" s="2" t="s">
        <v>72</v>
      </c>
      <c r="C81">
        <v>3.5068301624726814</v>
      </c>
      <c r="D81">
        <v>1.71</v>
      </c>
      <c r="I81">
        <v>2.3002942636680501</v>
      </c>
      <c r="L81">
        <v>24.380785589191895</v>
      </c>
      <c r="N81">
        <v>40.51</v>
      </c>
      <c r="Q81">
        <v>6.931698774080561E-3</v>
      </c>
      <c r="R81">
        <v>10.267700775581687</v>
      </c>
      <c r="U81">
        <v>8.8418598175048793</v>
      </c>
      <c r="V81">
        <v>50.097999999999999</v>
      </c>
      <c r="W81">
        <v>50.097999999999999</v>
      </c>
    </row>
    <row r="82" spans="1:23" x14ac:dyDescent="0.3">
      <c r="A82" t="s">
        <v>127</v>
      </c>
      <c r="B82" s="2" t="s">
        <v>73</v>
      </c>
      <c r="C82">
        <v>1.5589385717050845</v>
      </c>
      <c r="D82">
        <v>2.2999999999999998</v>
      </c>
      <c r="I82">
        <v>2.3115568640928701</v>
      </c>
      <c r="K82">
        <v>5.2266697883606001</v>
      </c>
      <c r="L82">
        <v>25.153650464891147</v>
      </c>
      <c r="Q82">
        <v>1.4086089286116301E-3</v>
      </c>
      <c r="R82">
        <v>13.217316913933228</v>
      </c>
      <c r="U82">
        <v>9.8271903991699201</v>
      </c>
      <c r="V82">
        <v>51.043999999999997</v>
      </c>
      <c r="W82">
        <v>51.043999999999997</v>
      </c>
    </row>
    <row r="83" spans="1:23" x14ac:dyDescent="0.3">
      <c r="A83" t="s">
        <v>127</v>
      </c>
      <c r="B83" s="2" t="s">
        <v>74</v>
      </c>
      <c r="C83">
        <v>8.9391471589088383</v>
      </c>
      <c r="D83">
        <v>2.57</v>
      </c>
      <c r="I83">
        <v>2.3572177915973702</v>
      </c>
      <c r="K83">
        <v>4.8924298286437997</v>
      </c>
      <c r="L83">
        <v>25.32883578939434</v>
      </c>
      <c r="N83">
        <v>40.74</v>
      </c>
      <c r="Q83">
        <v>6.8774733350921505E-2</v>
      </c>
      <c r="R83">
        <v>16.600082915614518</v>
      </c>
      <c r="U83">
        <v>11.0719499588013</v>
      </c>
      <c r="V83">
        <v>51.734000000000002</v>
      </c>
      <c r="W83">
        <v>51.734000000000002</v>
      </c>
    </row>
    <row r="84" spans="1:23" x14ac:dyDescent="0.3">
      <c r="A84" t="s">
        <v>127</v>
      </c>
      <c r="B84" s="2" t="s">
        <v>75</v>
      </c>
      <c r="C84">
        <v>13.279689443074076</v>
      </c>
      <c r="I84">
        <v>2.33954908535335</v>
      </c>
      <c r="K84">
        <v>4.9434299468994096</v>
      </c>
      <c r="L84">
        <v>23.43763982937088</v>
      </c>
      <c r="N84">
        <v>43.87</v>
      </c>
      <c r="Q84">
        <v>0.45809593413477312</v>
      </c>
      <c r="R84">
        <v>17.101691376070161</v>
      </c>
      <c r="S84">
        <v>-3.1679145663415951</v>
      </c>
      <c r="U84">
        <v>12.675310134887701</v>
      </c>
      <c r="V84">
        <v>52.484000000000002</v>
      </c>
      <c r="W84">
        <v>52.484000000000002</v>
      </c>
    </row>
    <row r="85" spans="1:23" x14ac:dyDescent="0.3">
      <c r="A85" t="s">
        <v>127</v>
      </c>
      <c r="B85" s="2" t="s">
        <v>76</v>
      </c>
      <c r="C85">
        <v>9.0030442667503223</v>
      </c>
      <c r="D85">
        <v>3.13</v>
      </c>
      <c r="I85">
        <v>2.3672836347919501</v>
      </c>
      <c r="J85">
        <v>6.441757799327763</v>
      </c>
      <c r="K85">
        <v>4.5495800971984899</v>
      </c>
      <c r="L85">
        <v>20.667730423025858</v>
      </c>
      <c r="N85">
        <v>42.91</v>
      </c>
      <c r="Q85">
        <v>0.72758147733319423</v>
      </c>
      <c r="R85">
        <v>18.717645769132389</v>
      </c>
      <c r="S85">
        <v>-3.119680240557575</v>
      </c>
      <c r="U85">
        <v>14.6191701889038</v>
      </c>
      <c r="V85">
        <v>53.271999999999998</v>
      </c>
      <c r="W85">
        <v>53.271999999999998</v>
      </c>
    </row>
    <row r="86" spans="1:23" x14ac:dyDescent="0.3">
      <c r="A86" t="s">
        <v>127</v>
      </c>
      <c r="B86" s="2" t="s">
        <v>77</v>
      </c>
      <c r="C86">
        <v>8.6287676449318838</v>
      </c>
      <c r="D86">
        <v>3.64</v>
      </c>
      <c r="I86">
        <v>2.4545100987617401</v>
      </c>
      <c r="J86">
        <v>11.972268615746483</v>
      </c>
      <c r="K86">
        <v>4.9411201477050799</v>
      </c>
      <c r="L86">
        <v>18.83968965587832</v>
      </c>
      <c r="N86">
        <v>43.4</v>
      </c>
      <c r="Q86">
        <v>2.1480724692318001</v>
      </c>
      <c r="R86">
        <v>18.320743515732154</v>
      </c>
      <c r="S86">
        <v>0.56509211748647581</v>
      </c>
      <c r="U86">
        <v>15.355950355529799</v>
      </c>
      <c r="V86">
        <v>54.075000000000003</v>
      </c>
      <c r="W86">
        <v>54.075000000000003</v>
      </c>
    </row>
    <row r="87" spans="1:23" x14ac:dyDescent="0.3">
      <c r="A87" t="s">
        <v>127</v>
      </c>
      <c r="B87" s="2" t="s">
        <v>78</v>
      </c>
      <c r="C87">
        <v>4.5476896283971797</v>
      </c>
      <c r="D87">
        <v>4.55</v>
      </c>
      <c r="I87">
        <v>2.5000031317266802</v>
      </c>
      <c r="J87">
        <v>12.283581249207254</v>
      </c>
      <c r="L87">
        <v>16.204496448503296</v>
      </c>
      <c r="N87">
        <v>40.94</v>
      </c>
      <c r="Q87">
        <v>6.7494292333863584</v>
      </c>
      <c r="R87">
        <v>18.995750887874173</v>
      </c>
      <c r="S87">
        <v>-9.3116422257660645</v>
      </c>
      <c r="U87">
        <v>15.534270286560099</v>
      </c>
      <c r="V87">
        <v>54.875999999999998</v>
      </c>
      <c r="W87">
        <v>54.875999999999998</v>
      </c>
    </row>
    <row r="88" spans="1:23" x14ac:dyDescent="0.3">
      <c r="A88" t="s">
        <v>127</v>
      </c>
      <c r="B88" s="2" t="s">
        <v>79</v>
      </c>
      <c r="C88">
        <v>10.011329037990691</v>
      </c>
      <c r="D88">
        <v>5.18</v>
      </c>
      <c r="I88">
        <v>2.6088779583206301</v>
      </c>
      <c r="J88">
        <v>12.441215615936525</v>
      </c>
      <c r="K88">
        <v>4.2803201675415004</v>
      </c>
      <c r="L88">
        <v>15.669515289869787</v>
      </c>
      <c r="N88">
        <v>40.770000000000003</v>
      </c>
      <c r="Q88">
        <v>2.5301709199967051</v>
      </c>
      <c r="R88">
        <v>13.936376543074298</v>
      </c>
      <c r="S88">
        <v>0.80268599192336421</v>
      </c>
      <c r="U88">
        <v>15.995770454406699</v>
      </c>
      <c r="V88">
        <v>55.673000000000002</v>
      </c>
      <c r="W88">
        <v>55.673000000000002</v>
      </c>
    </row>
    <row r="89" spans="1:23" x14ac:dyDescent="0.3">
      <c r="A89" t="s">
        <v>127</v>
      </c>
      <c r="B89" s="2" t="s">
        <v>80</v>
      </c>
      <c r="C89">
        <v>7.3485538963285961</v>
      </c>
      <c r="D89">
        <v>4.97</v>
      </c>
      <c r="I89">
        <v>2.6866772901237801</v>
      </c>
      <c r="J89">
        <v>9.8520472978566236</v>
      </c>
      <c r="L89">
        <v>17.339307843987132</v>
      </c>
      <c r="N89">
        <v>27.77</v>
      </c>
      <c r="Q89">
        <v>3.3997500591454144</v>
      </c>
      <c r="R89">
        <v>25.895108267656447</v>
      </c>
      <c r="S89">
        <v>17.584790467055985</v>
      </c>
      <c r="U89">
        <v>16.928230285644499</v>
      </c>
      <c r="V89">
        <v>56.454000000000001</v>
      </c>
      <c r="W89">
        <v>56.454000000000001</v>
      </c>
    </row>
    <row r="90" spans="1:23" x14ac:dyDescent="0.3">
      <c r="A90" t="s">
        <v>127</v>
      </c>
      <c r="B90" s="2" t="s">
        <v>81</v>
      </c>
      <c r="C90">
        <v>9.9071711339782524</v>
      </c>
      <c r="D90">
        <v>5.21</v>
      </c>
      <c r="I90">
        <v>2.7534681922780302</v>
      </c>
      <c r="J90">
        <v>8.819843121945139</v>
      </c>
      <c r="K90">
        <v>5.6083002090454102</v>
      </c>
      <c r="L90">
        <v>15.960545065906661</v>
      </c>
      <c r="N90">
        <v>27.35</v>
      </c>
      <c r="Q90">
        <v>1.0615425736575641</v>
      </c>
      <c r="R90">
        <v>24.708763804773781</v>
      </c>
      <c r="S90">
        <v>-7.8014847736234652</v>
      </c>
      <c r="U90">
        <v>17.934999465942401</v>
      </c>
      <c r="V90">
        <v>57.219000000000001</v>
      </c>
      <c r="W90">
        <v>57.219000000000001</v>
      </c>
    </row>
    <row r="91" spans="1:23" x14ac:dyDescent="0.3">
      <c r="A91" t="s">
        <v>127</v>
      </c>
      <c r="B91" s="2" t="s">
        <v>82</v>
      </c>
      <c r="C91">
        <v>5.0944068404804597</v>
      </c>
      <c r="D91">
        <v>6.47</v>
      </c>
      <c r="I91">
        <v>2.92776460855633</v>
      </c>
      <c r="J91">
        <v>11.838238029706767</v>
      </c>
      <c r="K91">
        <v>5.2214899063110396</v>
      </c>
      <c r="L91">
        <v>15.789473684210526</v>
      </c>
      <c r="N91">
        <v>47.48</v>
      </c>
      <c r="Q91">
        <v>1.5823684233131579</v>
      </c>
      <c r="R91">
        <v>25.84812030075188</v>
      </c>
      <c r="S91">
        <v>2.0300751883948513</v>
      </c>
      <c r="U91">
        <v>18.546970367431602</v>
      </c>
      <c r="V91">
        <v>57.966999999999999</v>
      </c>
      <c r="W91">
        <v>57.966999999999999</v>
      </c>
    </row>
    <row r="92" spans="1:23" x14ac:dyDescent="0.3">
      <c r="A92" t="s">
        <v>127</v>
      </c>
      <c r="B92" s="2" t="s">
        <v>83</v>
      </c>
      <c r="C92">
        <v>9.7457627117125867</v>
      </c>
      <c r="D92">
        <v>5.89</v>
      </c>
      <c r="I92">
        <v>3.01141121345053</v>
      </c>
      <c r="J92">
        <v>11.664926876648735</v>
      </c>
      <c r="L92">
        <v>15.50632911392405</v>
      </c>
      <c r="N92">
        <v>47.24</v>
      </c>
      <c r="Q92">
        <v>2.1463566016392579</v>
      </c>
      <c r="R92">
        <v>26.215822784810129</v>
      </c>
      <c r="S92">
        <v>6.238065865547088</v>
      </c>
      <c r="U92">
        <v>19.0925998687744</v>
      </c>
      <c r="V92">
        <v>58.697000000000003</v>
      </c>
      <c r="W92">
        <v>58.697000000000003</v>
      </c>
    </row>
    <row r="93" spans="1:23" x14ac:dyDescent="0.3">
      <c r="A93" t="s">
        <v>127</v>
      </c>
      <c r="B93" s="2" t="s">
        <v>84</v>
      </c>
      <c r="C93">
        <v>5.7915057914235746</v>
      </c>
      <c r="I93">
        <v>2.97601428293392</v>
      </c>
      <c r="J93">
        <v>8.2238830575348523</v>
      </c>
      <c r="L93">
        <v>15.281501340482572</v>
      </c>
      <c r="Q93">
        <v>3.0152774032937604</v>
      </c>
      <c r="R93">
        <v>27.198659517426272</v>
      </c>
      <c r="S93">
        <v>3.0687217281590597</v>
      </c>
      <c r="U93">
        <v>17.8572292327881</v>
      </c>
      <c r="V93">
        <v>59.405000000000001</v>
      </c>
      <c r="W93">
        <v>59.405000000000001</v>
      </c>
    </row>
    <row r="94" spans="1:23" x14ac:dyDescent="0.3">
      <c r="A94" t="s">
        <v>127</v>
      </c>
      <c r="B94" s="2" t="s">
        <v>85</v>
      </c>
      <c r="C94">
        <v>4.7445255473815848</v>
      </c>
      <c r="I94">
        <v>2.8587704484915402</v>
      </c>
      <c r="J94">
        <v>6.0749811263446709</v>
      </c>
      <c r="L94">
        <v>14.73922902494331</v>
      </c>
      <c r="N94">
        <v>44.4</v>
      </c>
      <c r="Q94">
        <v>2.9510910268869419</v>
      </c>
      <c r="R94">
        <v>29.224263038548752</v>
      </c>
      <c r="S94">
        <v>1.8824585794769588</v>
      </c>
      <c r="U94">
        <v>17.768480300903299</v>
      </c>
      <c r="V94">
        <v>60.085000000000001</v>
      </c>
      <c r="W94">
        <v>60.085000000000001</v>
      </c>
    </row>
    <row r="95" spans="1:23" x14ac:dyDescent="0.3">
      <c r="A95" t="s">
        <v>127</v>
      </c>
      <c r="B95" s="2" t="s">
        <v>86</v>
      </c>
      <c r="C95">
        <v>3.8327526131913174</v>
      </c>
      <c r="I95">
        <v>2.77337359061845</v>
      </c>
      <c r="J95">
        <v>8.9092342254077668</v>
      </c>
      <c r="L95">
        <v>14.36893203883495</v>
      </c>
      <c r="Q95">
        <v>2.342602496532594</v>
      </c>
      <c r="R95">
        <v>28.895145631067958</v>
      </c>
      <c r="S95">
        <v>3.435567132321391</v>
      </c>
      <c r="U95">
        <v>17.884689331054702</v>
      </c>
      <c r="V95">
        <v>60.735999999999997</v>
      </c>
      <c r="W95">
        <v>60.735999999999997</v>
      </c>
    </row>
    <row r="96" spans="1:23" x14ac:dyDescent="0.3">
      <c r="A96" t="s">
        <v>127</v>
      </c>
      <c r="B96" s="2" t="s">
        <v>87</v>
      </c>
      <c r="C96">
        <v>5.4613204955134051</v>
      </c>
      <c r="I96">
        <v>2.78029406933467</v>
      </c>
      <c r="J96">
        <v>10.776323814306817</v>
      </c>
      <c r="K96">
        <v>4.5252199172973597</v>
      </c>
      <c r="L96">
        <v>13.961039772727274</v>
      </c>
      <c r="Q96">
        <v>3.4019318181818177</v>
      </c>
      <c r="R96">
        <v>28.133279220779222</v>
      </c>
      <c r="S96">
        <v>3.158634195733101</v>
      </c>
      <c r="U96">
        <v>17.412870407104499</v>
      </c>
      <c r="V96">
        <v>61.357999999999997</v>
      </c>
      <c r="W96">
        <v>61.357999999999997</v>
      </c>
    </row>
    <row r="97" spans="1:23" x14ac:dyDescent="0.3">
      <c r="A97" t="s">
        <v>127</v>
      </c>
      <c r="B97" s="2" t="s">
        <v>88</v>
      </c>
      <c r="C97">
        <v>4.920868603902278</v>
      </c>
      <c r="D97">
        <v>7.06</v>
      </c>
      <c r="I97">
        <v>2.7222124629574602</v>
      </c>
      <c r="J97">
        <v>8.2841075972883118</v>
      </c>
      <c r="K97">
        <v>4.6000599861145002</v>
      </c>
      <c r="L97">
        <v>12.597402207792207</v>
      </c>
      <c r="N97">
        <v>51.25</v>
      </c>
      <c r="Q97">
        <v>3.1446131759149987</v>
      </c>
      <c r="R97">
        <v>26.530129870129869</v>
      </c>
      <c r="S97">
        <v>-0.67491105497253967</v>
      </c>
      <c r="U97">
        <v>14.773730278015099</v>
      </c>
      <c r="V97">
        <v>61.948999999999998</v>
      </c>
      <c r="W97">
        <v>61.948999999999998</v>
      </c>
    </row>
    <row r="98" spans="1:23" x14ac:dyDescent="0.3">
      <c r="A98" t="s">
        <v>127</v>
      </c>
      <c r="B98" s="2" t="s">
        <v>89</v>
      </c>
      <c r="C98">
        <v>5.6670291571581828</v>
      </c>
      <c r="D98">
        <v>8.43</v>
      </c>
      <c r="I98">
        <v>2.9296094481798498</v>
      </c>
      <c r="J98">
        <v>9.9665151356993729</v>
      </c>
      <c r="L98">
        <v>11.377870563674323</v>
      </c>
      <c r="M98">
        <v>16098397</v>
      </c>
      <c r="N98">
        <v>50.38</v>
      </c>
      <c r="O98">
        <v>0</v>
      </c>
      <c r="Q98">
        <v>1.7078141962421713</v>
      </c>
      <c r="R98">
        <v>25.525678496868476</v>
      </c>
      <c r="S98">
        <v>1.0675352992735316</v>
      </c>
      <c r="T98">
        <v>-61.760887776657334</v>
      </c>
      <c r="U98">
        <v>13.5156497955322</v>
      </c>
      <c r="V98">
        <v>62.512999999999998</v>
      </c>
      <c r="W98">
        <v>62.512999999999998</v>
      </c>
    </row>
    <row r="99" spans="1:23" x14ac:dyDescent="0.3">
      <c r="A99" t="s">
        <v>127</v>
      </c>
      <c r="B99" s="2" t="s">
        <v>90</v>
      </c>
      <c r="C99">
        <v>1.1254045952074705</v>
      </c>
      <c r="D99">
        <v>9.3800000000000008</v>
      </c>
      <c r="F99">
        <v>21.088999999999999</v>
      </c>
      <c r="H99">
        <v>42.750999999999998</v>
      </c>
      <c r="I99">
        <v>2.7569751613282998</v>
      </c>
      <c r="J99">
        <v>10.843098666666666</v>
      </c>
      <c r="L99">
        <v>11.111111111111111</v>
      </c>
      <c r="M99">
        <v>16639933</v>
      </c>
      <c r="N99">
        <v>46.72</v>
      </c>
      <c r="Q99">
        <v>0.67669066666666655</v>
      </c>
      <c r="R99">
        <v>22.058631111111112</v>
      </c>
      <c r="S99">
        <v>3.2046387955500619</v>
      </c>
      <c r="T99">
        <v>-61.844371968853629</v>
      </c>
      <c r="U99">
        <v>11.172949790954601</v>
      </c>
      <c r="V99">
        <v>63.058999999999997</v>
      </c>
      <c r="W99">
        <v>63.058999999999997</v>
      </c>
    </row>
    <row r="100" spans="1:23" x14ac:dyDescent="0.3">
      <c r="A100" t="s">
        <v>127</v>
      </c>
      <c r="B100" s="2" t="s">
        <v>91</v>
      </c>
      <c r="C100">
        <v>4.472859184081841</v>
      </c>
      <c r="D100">
        <v>8.92</v>
      </c>
      <c r="F100">
        <v>17.064</v>
      </c>
      <c r="H100">
        <v>35.683</v>
      </c>
      <c r="I100">
        <v>2.3894924999556002</v>
      </c>
      <c r="J100">
        <v>14.583338030194106</v>
      </c>
      <c r="K100">
        <v>4.0506701469421396</v>
      </c>
      <c r="L100">
        <v>10.424155283968368</v>
      </c>
      <c r="M100">
        <v>17287797</v>
      </c>
      <c r="N100">
        <v>47.19</v>
      </c>
      <c r="Q100">
        <v>1.0966173256649894</v>
      </c>
      <c r="R100">
        <v>22.270452911574406</v>
      </c>
      <c r="S100">
        <v>1.670924890094647</v>
      </c>
      <c r="T100">
        <v>-66.239940970382605</v>
      </c>
      <c r="V100">
        <v>63.585000000000001</v>
      </c>
      <c r="W100">
        <v>63.585000000000001</v>
      </c>
    </row>
    <row r="101" spans="1:23" x14ac:dyDescent="0.3">
      <c r="A101" t="s">
        <v>127</v>
      </c>
      <c r="B101" s="2" t="s">
        <v>92</v>
      </c>
      <c r="C101">
        <v>2.900790799594418</v>
      </c>
      <c r="D101">
        <v>10.92</v>
      </c>
      <c r="F101">
        <v>22.393999999999998</v>
      </c>
      <c r="H101">
        <v>47.051000000000002</v>
      </c>
      <c r="I101">
        <v>2.3072779301930399</v>
      </c>
      <c r="J101">
        <v>12.160082474226805</v>
      </c>
      <c r="K101">
        <v>4.1977000236511204</v>
      </c>
      <c r="L101">
        <v>10.309278350515463</v>
      </c>
      <c r="M101">
        <v>18050843</v>
      </c>
      <c r="N101">
        <v>47.89</v>
      </c>
      <c r="O101">
        <v>9.7599999999999998E-4</v>
      </c>
      <c r="Q101">
        <v>1.0584252577319588</v>
      </c>
      <c r="R101">
        <v>23.765786082474229</v>
      </c>
      <c r="S101">
        <v>9.1012413837918569</v>
      </c>
      <c r="T101">
        <v>-65.836085922238169</v>
      </c>
      <c r="V101">
        <v>64.147000000000006</v>
      </c>
      <c r="W101">
        <v>64.147000000000006</v>
      </c>
    </row>
    <row r="102" spans="1:23" x14ac:dyDescent="0.3">
      <c r="A102" t="s">
        <v>127</v>
      </c>
      <c r="B102" s="2" t="s">
        <v>93</v>
      </c>
      <c r="C102">
        <v>3.973172180345415</v>
      </c>
      <c r="D102">
        <v>10.93</v>
      </c>
      <c r="F102">
        <v>22.841999999999999</v>
      </c>
      <c r="H102">
        <v>48.442</v>
      </c>
      <c r="I102">
        <v>2.1540051705121899</v>
      </c>
      <c r="J102">
        <v>7.0754194285714274</v>
      </c>
      <c r="K102">
        <v>4.5837597846984899</v>
      </c>
      <c r="L102">
        <v>10.285714285714285</v>
      </c>
      <c r="M102">
        <v>18936961</v>
      </c>
      <c r="N102">
        <v>48.88</v>
      </c>
      <c r="O102">
        <v>6.3800000000000003E-3</v>
      </c>
      <c r="Q102">
        <v>2.4201325714285713</v>
      </c>
      <c r="R102">
        <v>27.903657142857142</v>
      </c>
      <c r="S102">
        <v>7.4354194007096481</v>
      </c>
      <c r="T102">
        <v>-67.70447128299628</v>
      </c>
      <c r="V102">
        <v>64.662999999999997</v>
      </c>
      <c r="W102">
        <v>64.662999999999997</v>
      </c>
    </row>
    <row r="103" spans="1:23" x14ac:dyDescent="0.3">
      <c r="A103" t="s">
        <v>127</v>
      </c>
      <c r="B103" s="2" t="s">
        <v>94</v>
      </c>
      <c r="C103">
        <v>4.6424587724063855</v>
      </c>
      <c r="D103">
        <v>11.04</v>
      </c>
      <c r="F103">
        <v>23.745999999999999</v>
      </c>
      <c r="H103">
        <v>50.154000000000003</v>
      </c>
      <c r="I103">
        <v>2.1042054203827698</v>
      </c>
      <c r="J103">
        <v>5.3624343137254904</v>
      </c>
      <c r="K103">
        <v>4.6040000915527299</v>
      </c>
      <c r="L103">
        <v>10.53921568627451</v>
      </c>
      <c r="M103">
        <v>19086778</v>
      </c>
      <c r="N103">
        <v>47.92</v>
      </c>
      <c r="O103">
        <v>3.1300000000000001E-2</v>
      </c>
      <c r="Q103">
        <v>0.99402843137254904</v>
      </c>
      <c r="R103">
        <v>32.733823529411765</v>
      </c>
      <c r="S103">
        <v>4.5521576310024718</v>
      </c>
      <c r="T103">
        <v>-60.061573784178655</v>
      </c>
      <c r="V103">
        <v>65.213999999999999</v>
      </c>
      <c r="W103">
        <v>65.213999999999999</v>
      </c>
    </row>
    <row r="104" spans="1:23" x14ac:dyDescent="0.3">
      <c r="A104" t="s">
        <v>127</v>
      </c>
      <c r="B104" s="2" t="s">
        <v>95</v>
      </c>
      <c r="C104">
        <v>4.9887305651220828</v>
      </c>
      <c r="D104">
        <v>9</v>
      </c>
      <c r="F104">
        <v>18.559999999999999</v>
      </c>
      <c r="H104">
        <v>39.317</v>
      </c>
      <c r="I104">
        <v>2.0733619634766201</v>
      </c>
      <c r="J104">
        <v>4.5941342632955529</v>
      </c>
      <c r="K104">
        <v>4.67156982421875</v>
      </c>
      <c r="L104">
        <v>10.37489102005231</v>
      </c>
      <c r="M104">
        <v>19361060</v>
      </c>
      <c r="N104">
        <v>46.6</v>
      </c>
      <c r="O104">
        <v>6.1499999999999999E-2</v>
      </c>
      <c r="Q104">
        <v>0.94041499564080211</v>
      </c>
      <c r="R104">
        <v>36.534394071490844</v>
      </c>
      <c r="S104">
        <v>7.9132204880127484</v>
      </c>
      <c r="T104">
        <v>-46.313477358847067</v>
      </c>
      <c r="V104">
        <v>65.733000000000004</v>
      </c>
      <c r="W104">
        <v>65.733000000000004</v>
      </c>
    </row>
    <row r="105" spans="1:23" x14ac:dyDescent="0.3">
      <c r="A105" t="s">
        <v>127</v>
      </c>
      <c r="B105" s="2" t="s">
        <v>96</v>
      </c>
      <c r="C105">
        <v>5.4923547430294235</v>
      </c>
      <c r="D105">
        <v>8.3699999999999992</v>
      </c>
      <c r="F105">
        <v>19.811</v>
      </c>
      <c r="H105">
        <v>42.058</v>
      </c>
      <c r="I105">
        <v>2.0725593428379598</v>
      </c>
      <c r="J105">
        <v>4.7133621662279053</v>
      </c>
      <c r="L105">
        <v>11.320045129748026</v>
      </c>
      <c r="M105">
        <v>19639085</v>
      </c>
      <c r="O105">
        <v>9.0499999999999997E-2</v>
      </c>
      <c r="Q105">
        <v>1.1353758931929296</v>
      </c>
      <c r="R105">
        <v>39.693606619029708</v>
      </c>
      <c r="S105">
        <v>3.5634527583320135</v>
      </c>
      <c r="T105">
        <v>-38.201695254305974</v>
      </c>
      <c r="V105">
        <v>66.206999999999994</v>
      </c>
      <c r="W105">
        <v>66.206999999999994</v>
      </c>
    </row>
    <row r="106" spans="1:23" x14ac:dyDescent="0.3">
      <c r="A106" t="s">
        <v>127</v>
      </c>
      <c r="B106" s="2" t="s">
        <v>97</v>
      </c>
      <c r="C106">
        <v>5.575497460986</v>
      </c>
      <c r="D106">
        <v>8.0299999999999994</v>
      </c>
      <c r="F106">
        <v>19.632999999999999</v>
      </c>
      <c r="G106">
        <v>23.11</v>
      </c>
      <c r="H106">
        <v>41.713999999999999</v>
      </c>
      <c r="I106">
        <v>2.1848075953092199</v>
      </c>
      <c r="J106">
        <v>3.9727070285316626</v>
      </c>
      <c r="L106">
        <v>11.308281141266527</v>
      </c>
      <c r="M106">
        <v>19954542</v>
      </c>
      <c r="N106">
        <v>46</v>
      </c>
      <c r="O106">
        <v>0.14799999999999999</v>
      </c>
      <c r="Q106">
        <v>1.268437021572721</v>
      </c>
      <c r="R106">
        <v>46.555010438413362</v>
      </c>
      <c r="S106">
        <v>10.391898920456653</v>
      </c>
      <c r="T106">
        <v>-30.310217935986994</v>
      </c>
      <c r="V106">
        <v>66.635000000000005</v>
      </c>
      <c r="W106">
        <v>66.635000000000005</v>
      </c>
    </row>
    <row r="107" spans="1:23" x14ac:dyDescent="0.3">
      <c r="A107" t="s">
        <v>127</v>
      </c>
      <c r="B107" s="2" t="s">
        <v>98</v>
      </c>
      <c r="C107">
        <v>6.0534387846755493</v>
      </c>
      <c r="D107">
        <v>7.95</v>
      </c>
      <c r="F107">
        <v>19.111000000000001</v>
      </c>
      <c r="G107">
        <v>20.38</v>
      </c>
      <c r="H107">
        <v>35.744</v>
      </c>
      <c r="I107">
        <v>2.2305641664140499</v>
      </c>
      <c r="J107">
        <v>3.5666132314694408</v>
      </c>
      <c r="L107">
        <v>11.605981794538362</v>
      </c>
      <c r="M107">
        <v>21254606</v>
      </c>
      <c r="N107">
        <v>47.52</v>
      </c>
      <c r="O107">
        <v>0.28999999999999998</v>
      </c>
      <c r="Q107">
        <v>1.1743928153446033</v>
      </c>
      <c r="R107">
        <v>52.001820546163849</v>
      </c>
      <c r="S107">
        <v>11.93582240306063</v>
      </c>
      <c r="T107">
        <v>-31.280713340344953</v>
      </c>
      <c r="U107">
        <v>28.601669311523398</v>
      </c>
      <c r="V107">
        <v>67.010000000000005</v>
      </c>
      <c r="W107">
        <v>67.010000000000005</v>
      </c>
    </row>
    <row r="108" spans="1:23" x14ac:dyDescent="0.3">
      <c r="A108" t="s">
        <v>127</v>
      </c>
      <c r="B108" s="2" t="s">
        <v>99</v>
      </c>
      <c r="C108">
        <v>6.370003829917664</v>
      </c>
      <c r="D108">
        <v>8.98</v>
      </c>
      <c r="F108">
        <v>22.844000000000001</v>
      </c>
      <c r="H108">
        <v>45.947000000000003</v>
      </c>
      <c r="I108">
        <v>2.1609197852978199</v>
      </c>
      <c r="J108">
        <v>2.8566121728903262</v>
      </c>
      <c r="L108">
        <v>11.202587474272272</v>
      </c>
      <c r="M108">
        <v>21302020</v>
      </c>
      <c r="N108">
        <v>29.6</v>
      </c>
      <c r="O108">
        <v>0.64126499999999997</v>
      </c>
      <c r="Q108">
        <v>1.2369972067039108</v>
      </c>
      <c r="R108">
        <v>51.953278447515437</v>
      </c>
      <c r="S108">
        <v>8.9196009742510007</v>
      </c>
      <c r="T108">
        <v>-23.171586326496008</v>
      </c>
      <c r="V108">
        <v>67.331999999999994</v>
      </c>
      <c r="W108">
        <v>67.331999999999994</v>
      </c>
    </row>
    <row r="109" spans="1:23" x14ac:dyDescent="0.3">
      <c r="A109" t="s">
        <v>127</v>
      </c>
      <c r="B109" s="2" t="s">
        <v>100</v>
      </c>
      <c r="C109">
        <v>3.5352519739150665</v>
      </c>
      <c r="D109">
        <v>9.26</v>
      </c>
      <c r="F109">
        <v>21.838000000000001</v>
      </c>
      <c r="G109">
        <v>27.7</v>
      </c>
      <c r="H109">
        <v>47.026000000000003</v>
      </c>
      <c r="I109">
        <v>2.1238036234522601</v>
      </c>
      <c r="J109">
        <v>3.0112333426261495</v>
      </c>
      <c r="L109">
        <v>11.318650683022025</v>
      </c>
      <c r="M109">
        <v>21324246</v>
      </c>
      <c r="N109">
        <v>44.93</v>
      </c>
      <c r="O109">
        <v>0.83894599999999997</v>
      </c>
      <c r="Q109">
        <v>0.52738472260942293</v>
      </c>
      <c r="R109">
        <v>54.93114022860329</v>
      </c>
      <c r="S109">
        <v>11.214513375635724</v>
      </c>
      <c r="T109">
        <v>-17.838430503500746</v>
      </c>
      <c r="U109">
        <v>27.892250061035199</v>
      </c>
      <c r="V109">
        <v>67.611999999999995</v>
      </c>
      <c r="W109">
        <v>67.611999999999995</v>
      </c>
    </row>
    <row r="110" spans="1:23" x14ac:dyDescent="0.3">
      <c r="A110" t="s">
        <v>127</v>
      </c>
      <c r="B110" s="2" t="s">
        <v>101</v>
      </c>
      <c r="C110">
        <v>2.3902040257372619</v>
      </c>
      <c r="D110">
        <v>10.01</v>
      </c>
      <c r="F110">
        <v>24.077999999999999</v>
      </c>
      <c r="G110">
        <v>27.1</v>
      </c>
      <c r="H110">
        <v>36.871000000000002</v>
      </c>
      <c r="I110">
        <v>2.1037235974595498</v>
      </c>
      <c r="J110">
        <v>3.3978081287938768</v>
      </c>
      <c r="L110">
        <v>12.589073634204276</v>
      </c>
      <c r="M110">
        <v>21097168</v>
      </c>
      <c r="N110">
        <v>43.19</v>
      </c>
      <c r="O110">
        <v>2.72</v>
      </c>
      <c r="Q110">
        <v>0.75975323304301934</v>
      </c>
      <c r="R110">
        <v>54.655397202428077</v>
      </c>
      <c r="S110">
        <v>10.300031943994982</v>
      </c>
      <c r="T110">
        <v>-19.274930984127703</v>
      </c>
      <c r="U110">
        <v>28.918239593505898</v>
      </c>
      <c r="V110">
        <v>67.846000000000004</v>
      </c>
      <c r="W110">
        <v>67.846000000000004</v>
      </c>
    </row>
    <row r="111" spans="1:23" x14ac:dyDescent="0.3">
      <c r="A111" t="s">
        <v>127</v>
      </c>
      <c r="B111" s="2" t="s">
        <v>102</v>
      </c>
      <c r="C111">
        <v>3.1934547373974453</v>
      </c>
      <c r="D111">
        <v>10.91</v>
      </c>
      <c r="F111">
        <v>23.402999999999999</v>
      </c>
      <c r="H111">
        <v>39.079000000000001</v>
      </c>
      <c r="I111">
        <v>2.09545323003183</v>
      </c>
      <c r="J111">
        <v>3.6878275449101801</v>
      </c>
      <c r="K111">
        <v>4.9456300735473597</v>
      </c>
      <c r="L111">
        <v>12.67065868263473</v>
      </c>
      <c r="M111">
        <v>22178983</v>
      </c>
      <c r="O111">
        <v>4.03789</v>
      </c>
      <c r="Q111">
        <v>0.29568383233532936</v>
      </c>
      <c r="R111">
        <v>53.897628742514968</v>
      </c>
      <c r="S111">
        <v>6.327025948103473</v>
      </c>
      <c r="T111">
        <v>-19.317781800660775</v>
      </c>
      <c r="U111">
        <v>26.024509429931602</v>
      </c>
      <c r="V111">
        <v>68.045000000000002</v>
      </c>
      <c r="W111">
        <v>68.045000000000002</v>
      </c>
    </row>
    <row r="112" spans="1:23" x14ac:dyDescent="0.3">
      <c r="A112" t="s">
        <v>127</v>
      </c>
      <c r="B112" s="2" t="s">
        <v>103</v>
      </c>
      <c r="C112">
        <v>4.0920716112534024</v>
      </c>
      <c r="D112">
        <v>10.32</v>
      </c>
      <c r="F112">
        <v>26.428999999999998</v>
      </c>
      <c r="H112">
        <v>48.304000000000002</v>
      </c>
      <c r="I112">
        <v>2.06437734857129</v>
      </c>
      <c r="J112">
        <v>4.2404104677519063</v>
      </c>
      <c r="K112">
        <v>4.6707201004028303</v>
      </c>
      <c r="L112">
        <v>12.754996909128375</v>
      </c>
      <c r="M112">
        <v>23289758</v>
      </c>
      <c r="O112">
        <v>11.92</v>
      </c>
      <c r="Q112">
        <v>1.590836183803833</v>
      </c>
      <c r="R112">
        <v>54.042914279826903</v>
      </c>
      <c r="S112">
        <v>1.5269034288387635</v>
      </c>
      <c r="T112">
        <v>-11.46463767121714</v>
      </c>
      <c r="U112">
        <v>27.286209106445298</v>
      </c>
      <c r="V112">
        <v>68.210999999999999</v>
      </c>
      <c r="W112">
        <v>68.210999999999999</v>
      </c>
    </row>
    <row r="113" spans="1:23" x14ac:dyDescent="0.3">
      <c r="A113" t="s">
        <v>127</v>
      </c>
      <c r="B113" s="2" t="s">
        <v>5</v>
      </c>
      <c r="C113">
        <v>4.4717444717443442</v>
      </c>
      <c r="D113">
        <v>11.048999999999999</v>
      </c>
      <c r="F113">
        <v>24.602</v>
      </c>
      <c r="H113">
        <v>49.268000000000001</v>
      </c>
      <c r="I113">
        <v>2.02220952721924</v>
      </c>
      <c r="J113">
        <v>5.5958967130919222</v>
      </c>
      <c r="K113">
        <v>4.7944297790527299</v>
      </c>
      <c r="L113">
        <v>12.739090064995356</v>
      </c>
      <c r="M113">
        <v>24412249</v>
      </c>
      <c r="N113">
        <v>49.52</v>
      </c>
      <c r="O113">
        <v>12.75</v>
      </c>
      <c r="Q113">
        <v>5.9955159888579388</v>
      </c>
      <c r="R113">
        <v>51.165434053110495</v>
      </c>
      <c r="S113">
        <v>6.5236409917132852</v>
      </c>
      <c r="T113">
        <v>-22.487341836775197</v>
      </c>
      <c r="U113">
        <v>28.4127006530762</v>
      </c>
      <c r="V113">
        <v>68.355000000000004</v>
      </c>
      <c r="W113">
        <v>68.355000000000004</v>
      </c>
    </row>
    <row r="114" spans="1:23" x14ac:dyDescent="0.3">
      <c r="A114" t="s">
        <v>127</v>
      </c>
      <c r="B114" s="2" t="s">
        <v>6</v>
      </c>
      <c r="C114">
        <v>6.8438381937911714</v>
      </c>
      <c r="D114">
        <v>10.49</v>
      </c>
      <c r="F114">
        <v>23.786000000000001</v>
      </c>
      <c r="G114">
        <v>29.87</v>
      </c>
      <c r="H114">
        <v>52.274999999999999</v>
      </c>
      <c r="I114">
        <v>1.9529134230048799</v>
      </c>
      <c r="J114">
        <v>4.9610854783875666</v>
      </c>
      <c r="K114">
        <v>4.0017800331115696</v>
      </c>
      <c r="L114">
        <v>12.287518212724624</v>
      </c>
      <c r="M114">
        <v>25528081</v>
      </c>
      <c r="N114">
        <v>46.97</v>
      </c>
      <c r="O114">
        <v>13.66</v>
      </c>
      <c r="Q114">
        <v>9.3485672656629415</v>
      </c>
      <c r="R114">
        <v>49.290979735308404</v>
      </c>
      <c r="S114">
        <v>4.8807967178945804</v>
      </c>
      <c r="T114">
        <v>-20.936626686994906</v>
      </c>
      <c r="U114">
        <v>28.369590759277301</v>
      </c>
      <c r="V114">
        <v>68.492999999999995</v>
      </c>
      <c r="W114">
        <v>68.492999999999995</v>
      </c>
    </row>
    <row r="115" spans="1:23" x14ac:dyDescent="0.3">
      <c r="A115" t="s">
        <v>127</v>
      </c>
      <c r="B115" s="2" t="s">
        <v>7</v>
      </c>
      <c r="C115">
        <v>7.087827426810378</v>
      </c>
      <c r="D115">
        <v>8.8000000000000007</v>
      </c>
      <c r="F115">
        <v>18.283000000000001</v>
      </c>
      <c r="G115">
        <v>24.8</v>
      </c>
      <c r="H115">
        <v>44.436</v>
      </c>
      <c r="I115">
        <v>1.8875321707711901</v>
      </c>
      <c r="J115">
        <v>5.8693096133190119</v>
      </c>
      <c r="K115">
        <v>3.68460988998413</v>
      </c>
      <c r="L115">
        <v>11.331901181525241</v>
      </c>
      <c r="M115">
        <v>26632069</v>
      </c>
      <c r="N115">
        <v>47.93</v>
      </c>
      <c r="O115">
        <v>16.03</v>
      </c>
      <c r="Q115">
        <v>8.8763360633727189</v>
      </c>
      <c r="R115">
        <v>45.515221566595059</v>
      </c>
      <c r="S115">
        <v>-7.7628594723214928E-2</v>
      </c>
      <c r="T115">
        <v>-19.330359795005073</v>
      </c>
      <c r="U115">
        <v>28.839920043945298</v>
      </c>
      <c r="V115">
        <v>68.626999999999995</v>
      </c>
      <c r="W115">
        <v>68.626999999999995</v>
      </c>
    </row>
    <row r="116" spans="1:23" x14ac:dyDescent="0.3">
      <c r="A116" t="s">
        <v>127</v>
      </c>
      <c r="B116" s="2" t="s">
        <v>8</v>
      </c>
      <c r="C116">
        <v>7.1562835660581925</v>
      </c>
      <c r="D116">
        <v>8.5169999999999995</v>
      </c>
      <c r="F116">
        <v>18.725999999999999</v>
      </c>
      <c r="G116">
        <v>25.036000000000001</v>
      </c>
      <c r="H116">
        <v>48.856999999999999</v>
      </c>
      <c r="I116">
        <v>1.86740413264217</v>
      </c>
      <c r="J116">
        <v>5.3396984924623112</v>
      </c>
      <c r="K116">
        <v>3.7608299255371098</v>
      </c>
      <c r="L116">
        <v>10.887772194304858</v>
      </c>
      <c r="M116">
        <v>26970086</v>
      </c>
      <c r="N116">
        <v>47.551000000000002</v>
      </c>
      <c r="O116">
        <v>18.010000000000002</v>
      </c>
      <c r="P116">
        <v>1.0546769198435277</v>
      </c>
      <c r="Q116">
        <v>5.8314126186487991</v>
      </c>
      <c r="R116">
        <v>42.797513780346172</v>
      </c>
      <c r="S116">
        <v>0.10785315466239062</v>
      </c>
      <c r="T116">
        <v>-21.079933718271558</v>
      </c>
      <c r="U116">
        <v>28.686109542846701</v>
      </c>
      <c r="V116">
        <v>68.760999999999996</v>
      </c>
      <c r="W116">
        <v>68.760999999999996</v>
      </c>
    </row>
    <row r="117" spans="1:23" x14ac:dyDescent="0.3">
      <c r="A117" t="s">
        <v>127</v>
      </c>
      <c r="B117" s="2" t="s">
        <v>9</v>
      </c>
      <c r="C117">
        <v>4.6735997995239131</v>
      </c>
      <c r="D117">
        <v>9.0869999999999997</v>
      </c>
      <c r="F117">
        <v>22.187000000000001</v>
      </c>
      <c r="G117">
        <v>24.783000000000001</v>
      </c>
      <c r="H117">
        <v>50.222000000000001</v>
      </c>
      <c r="I117">
        <v>1.88836522446639</v>
      </c>
      <c r="J117">
        <v>3.7799170984455954</v>
      </c>
      <c r="L117">
        <v>11.350988293993474</v>
      </c>
      <c r="M117">
        <v>27711440</v>
      </c>
      <c r="N117">
        <v>47.902000000000001</v>
      </c>
      <c r="O117">
        <v>20</v>
      </c>
      <c r="P117">
        <v>0.85487197443234364</v>
      </c>
      <c r="Q117">
        <v>3.548351180195739</v>
      </c>
      <c r="R117">
        <v>36.092713350700443</v>
      </c>
      <c r="S117">
        <v>0.71003632006846651</v>
      </c>
      <c r="T117">
        <v>-16.965406749765094</v>
      </c>
      <c r="U117">
        <v>29.269309997558601</v>
      </c>
      <c r="V117">
        <v>68.915000000000006</v>
      </c>
      <c r="W117">
        <v>68.915000000000006</v>
      </c>
    </row>
    <row r="118" spans="1:23" x14ac:dyDescent="0.3">
      <c r="A118" t="s">
        <v>127</v>
      </c>
      <c r="B118" s="2" t="s">
        <v>10</v>
      </c>
      <c r="C118">
        <v>5.1472348575531015</v>
      </c>
      <c r="D118">
        <v>8.7569999999999997</v>
      </c>
      <c r="F118">
        <v>21.940999999999999</v>
      </c>
      <c r="G118">
        <v>24.306999999999999</v>
      </c>
      <c r="H118">
        <v>52.247999999999998</v>
      </c>
      <c r="I118">
        <v>1.91795124102801</v>
      </c>
      <c r="J118">
        <v>5.6867711752030496</v>
      </c>
      <c r="L118">
        <v>11.163600198906016</v>
      </c>
      <c r="M118">
        <v>29112224</v>
      </c>
      <c r="N118">
        <v>49.368000000000002</v>
      </c>
      <c r="O118">
        <v>21.6</v>
      </c>
      <c r="P118">
        <v>0.95301987078764538</v>
      </c>
      <c r="Q118">
        <v>2.9160165755014087</v>
      </c>
      <c r="R118">
        <v>33.072295221418855</v>
      </c>
      <c r="S118">
        <v>0.81872161812432331</v>
      </c>
      <c r="T118">
        <v>-15.282542001040969</v>
      </c>
      <c r="U118">
        <v>30.072738366021401</v>
      </c>
      <c r="V118">
        <v>69.078000000000003</v>
      </c>
      <c r="W118">
        <v>69.078000000000003</v>
      </c>
    </row>
    <row r="119" spans="1:23" x14ac:dyDescent="0.3">
      <c r="A119" t="s">
        <v>127</v>
      </c>
      <c r="B119" s="2" t="s">
        <v>11</v>
      </c>
      <c r="C119">
        <v>1.7645719489981957</v>
      </c>
      <c r="D119">
        <v>11.849</v>
      </c>
      <c r="F119">
        <v>22.317</v>
      </c>
      <c r="G119">
        <v>29.3</v>
      </c>
      <c r="H119">
        <v>50.426000000000002</v>
      </c>
      <c r="I119">
        <v>2.1044607622411999</v>
      </c>
      <c r="J119">
        <v>6.0698842535190725</v>
      </c>
      <c r="L119">
        <v>11.450660053971264</v>
      </c>
      <c r="M119">
        <v>29381900</v>
      </c>
      <c r="N119">
        <v>48.784999999999997</v>
      </c>
      <c r="O119">
        <v>25.6</v>
      </c>
      <c r="P119">
        <v>0.99198372683413416</v>
      </c>
      <c r="Q119">
        <v>-0.20454284880752679</v>
      </c>
      <c r="R119">
        <v>31.154923289938225</v>
      </c>
      <c r="S119">
        <v>-0.56387805338647323</v>
      </c>
      <c r="T119">
        <v>-9.0916767957982199</v>
      </c>
      <c r="U119">
        <v>25.590182093215802</v>
      </c>
      <c r="V119">
        <v>69.231999999999999</v>
      </c>
      <c r="W119">
        <v>69.231999999999999</v>
      </c>
    </row>
    <row r="120" spans="1:23" x14ac:dyDescent="0.3">
      <c r="A120" t="s">
        <v>127</v>
      </c>
      <c r="B120" s="2" t="s">
        <v>12</v>
      </c>
      <c r="C120">
        <v>2.2261997986352497</v>
      </c>
      <c r="D120">
        <v>12.597</v>
      </c>
      <c r="F120">
        <v>23.911000000000001</v>
      </c>
      <c r="G120">
        <v>34.430999999999997</v>
      </c>
      <c r="H120">
        <v>53.723999999999997</v>
      </c>
      <c r="I120">
        <v>2.24475795490011</v>
      </c>
      <c r="J120">
        <v>6.8918851137517168</v>
      </c>
      <c r="L120">
        <v>11.178121454588881</v>
      </c>
      <c r="M120">
        <v>29870854</v>
      </c>
      <c r="N120">
        <v>48.494</v>
      </c>
      <c r="O120">
        <v>26.4</v>
      </c>
      <c r="P120">
        <v>0.61632101515855531</v>
      </c>
      <c r="Q120">
        <v>1.0023407177404908</v>
      </c>
      <c r="R120">
        <v>27.388449729503971</v>
      </c>
      <c r="S120">
        <v>-6.2627195024912758</v>
      </c>
      <c r="T120">
        <v>-3.8239380219027495</v>
      </c>
      <c r="U120">
        <v>26.227156625514599</v>
      </c>
      <c r="V120">
        <v>69.463999999999999</v>
      </c>
      <c r="W120">
        <v>69.463999999999999</v>
      </c>
    </row>
    <row r="121" spans="1:23" x14ac:dyDescent="0.3">
      <c r="A121" t="s">
        <v>127</v>
      </c>
      <c r="B121" s="2" t="s">
        <v>13</v>
      </c>
      <c r="C121">
        <v>2.1854660536214254</v>
      </c>
      <c r="D121">
        <v>13.154</v>
      </c>
      <c r="F121">
        <v>24.091000000000001</v>
      </c>
      <c r="G121">
        <v>34.109000000000002</v>
      </c>
      <c r="H121">
        <v>49.015999999999998</v>
      </c>
      <c r="I121">
        <v>2.3052636431562501</v>
      </c>
      <c r="J121">
        <v>6.1827292517738126</v>
      </c>
      <c r="L121">
        <v>11.352397333906687</v>
      </c>
      <c r="M121">
        <v>30519334</v>
      </c>
      <c r="N121">
        <v>48.436</v>
      </c>
      <c r="O121">
        <v>29.4</v>
      </c>
      <c r="P121">
        <v>0.53483764801357747</v>
      </c>
      <c r="Q121">
        <v>1.4534342076972695</v>
      </c>
      <c r="R121">
        <v>26.222439495804345</v>
      </c>
      <c r="S121">
        <v>3.2921571525835853</v>
      </c>
      <c r="T121">
        <v>0.75107387351062171</v>
      </c>
      <c r="U121">
        <v>28.347981695411299</v>
      </c>
      <c r="V121">
        <v>69.632000000000005</v>
      </c>
      <c r="W121">
        <v>69.632000000000005</v>
      </c>
    </row>
    <row r="122" spans="1:23" x14ac:dyDescent="0.3">
      <c r="A122" t="s">
        <v>127</v>
      </c>
      <c r="B122" s="2" t="s">
        <v>14</v>
      </c>
      <c r="C122">
        <v>2.9159118798574752</v>
      </c>
      <c r="D122">
        <v>13.105</v>
      </c>
      <c r="F122">
        <v>23.914999999999999</v>
      </c>
      <c r="G122">
        <v>32.234999999999999</v>
      </c>
      <c r="H122">
        <v>45.235999999999997</v>
      </c>
      <c r="I122">
        <v>2.27643956620182</v>
      </c>
      <c r="J122">
        <v>6.4040229107981208</v>
      </c>
      <c r="L122">
        <v>11.849765258215962</v>
      </c>
      <c r="M122">
        <v>30992087</v>
      </c>
      <c r="N122">
        <v>48.116999999999997</v>
      </c>
      <c r="O122">
        <v>33.894599999999997</v>
      </c>
      <c r="P122">
        <v>1.2526660234832698</v>
      </c>
      <c r="Q122">
        <v>1.5092504225352112</v>
      </c>
      <c r="R122">
        <v>25.606680539291787</v>
      </c>
      <c r="S122">
        <v>0.41412913902775816</v>
      </c>
      <c r="T122">
        <v>8.0901448411887671</v>
      </c>
      <c r="U122">
        <v>29.1134325604942</v>
      </c>
      <c r="V122">
        <v>69.911000000000001</v>
      </c>
      <c r="W122">
        <v>69.911000000000001</v>
      </c>
    </row>
    <row r="123" spans="1:23" x14ac:dyDescent="0.3">
      <c r="A123" t="s">
        <v>127</v>
      </c>
      <c r="B123" s="2" t="s">
        <v>15</v>
      </c>
      <c r="C123">
        <v>4.3720190779014132</v>
      </c>
      <c r="D123">
        <v>13.052</v>
      </c>
      <c r="F123">
        <v>24.68</v>
      </c>
      <c r="G123">
        <v>31.559000000000001</v>
      </c>
      <c r="H123">
        <v>39.872</v>
      </c>
      <c r="I123">
        <v>2.0989255480556301</v>
      </c>
      <c r="J123">
        <v>5.563831089651786</v>
      </c>
      <c r="L123">
        <v>11.759891975940096</v>
      </c>
      <c r="M123">
        <v>30851683</v>
      </c>
      <c r="N123">
        <v>46.978000000000002</v>
      </c>
      <c r="O123">
        <v>37.819400000000002</v>
      </c>
      <c r="P123">
        <v>0.7950576815085918</v>
      </c>
      <c r="Q123">
        <v>2.1025812840132576</v>
      </c>
      <c r="R123">
        <v>26.316393760304962</v>
      </c>
      <c r="S123">
        <v>1.5410684601894091</v>
      </c>
      <c r="T123">
        <v>12.861114561705458</v>
      </c>
      <c r="U123">
        <v>32.884899139404297</v>
      </c>
      <c r="V123">
        <v>70.135000000000005</v>
      </c>
      <c r="W123">
        <v>70.135000000000005</v>
      </c>
    </row>
    <row r="124" spans="1:23" x14ac:dyDescent="0.3">
      <c r="A124" t="s">
        <v>127</v>
      </c>
      <c r="B124" s="2" t="s">
        <v>16</v>
      </c>
      <c r="C124">
        <v>4.3466434555544708</v>
      </c>
      <c r="D124">
        <v>12.45</v>
      </c>
      <c r="F124">
        <v>23.507000000000001</v>
      </c>
      <c r="G124">
        <v>30.88</v>
      </c>
      <c r="H124">
        <v>40.554000000000002</v>
      </c>
      <c r="I124">
        <v>2.0346829492708398</v>
      </c>
      <c r="J124">
        <v>5.5920779508378242</v>
      </c>
      <c r="L124">
        <v>11.426884180999483</v>
      </c>
      <c r="M124">
        <v>31224055</v>
      </c>
      <c r="N124">
        <v>46.63</v>
      </c>
      <c r="O124">
        <v>41.248100000000001</v>
      </c>
      <c r="P124">
        <v>0.50437538531703596</v>
      </c>
      <c r="Q124">
        <v>2.4385627814276227</v>
      </c>
      <c r="R124">
        <v>34.134862625263935</v>
      </c>
      <c r="S124">
        <v>6.9220113549160782</v>
      </c>
      <c r="T124">
        <v>19.053989787273487</v>
      </c>
      <c r="U124">
        <v>31.873130798339801</v>
      </c>
      <c r="V124">
        <v>70.436999999999998</v>
      </c>
      <c r="W124">
        <v>70.436999999999998</v>
      </c>
    </row>
    <row r="125" spans="1:23" x14ac:dyDescent="0.3">
      <c r="A125" t="s">
        <v>127</v>
      </c>
      <c r="B125" s="2" t="s">
        <v>17</v>
      </c>
      <c r="C125">
        <v>4.181220999947783</v>
      </c>
      <c r="D125">
        <v>11.766999999999999</v>
      </c>
      <c r="F125">
        <v>22.824000000000002</v>
      </c>
      <c r="G125">
        <v>29.605</v>
      </c>
      <c r="H125">
        <v>40.012999999999998</v>
      </c>
      <c r="I125">
        <v>1.99817843887244</v>
      </c>
      <c r="J125">
        <v>9.9601884077792064</v>
      </c>
      <c r="L125">
        <v>9.5790366257282749</v>
      </c>
      <c r="M125">
        <v>30714881</v>
      </c>
      <c r="N125">
        <v>44.95</v>
      </c>
      <c r="O125">
        <v>44.950200000000002</v>
      </c>
      <c r="P125">
        <v>0.5652325758379011</v>
      </c>
      <c r="Q125">
        <v>2.9830155091769468</v>
      </c>
      <c r="R125">
        <v>27.069824673725428</v>
      </c>
      <c r="S125">
        <v>-8.758194080944449</v>
      </c>
      <c r="T125">
        <v>14.12995203980992</v>
      </c>
      <c r="U125">
        <v>33.101889293522099</v>
      </c>
      <c r="V125">
        <v>70.709000000000003</v>
      </c>
      <c r="W125">
        <v>70.709000000000003</v>
      </c>
    </row>
    <row r="126" spans="1:23" x14ac:dyDescent="0.3">
      <c r="A126" t="s">
        <v>127</v>
      </c>
      <c r="B126" s="2" t="s">
        <v>18</v>
      </c>
      <c r="C126">
        <v>5.3311086189447963</v>
      </c>
      <c r="D126">
        <v>9.8550000000000004</v>
      </c>
      <c r="F126">
        <v>21.332999999999998</v>
      </c>
      <c r="G126">
        <v>24.806999999999999</v>
      </c>
      <c r="H126">
        <v>52.798999999999999</v>
      </c>
      <c r="I126">
        <v>1.8971383183308199</v>
      </c>
      <c r="J126">
        <v>9.7169857485748583</v>
      </c>
      <c r="L126">
        <v>7.942222793707943</v>
      </c>
      <c r="M126">
        <v>30208878</v>
      </c>
      <c r="N126">
        <v>43.298999999999999</v>
      </c>
      <c r="O126">
        <v>46.924300000000002</v>
      </c>
      <c r="P126">
        <v>0.8628135434647064</v>
      </c>
      <c r="Q126">
        <v>3.100400775791865</v>
      </c>
      <c r="R126">
        <v>24.29527907076422</v>
      </c>
      <c r="S126">
        <v>-2.3587030131583586</v>
      </c>
      <c r="T126">
        <v>4.9957345889152789</v>
      </c>
      <c r="U126">
        <v>36.123001098632798</v>
      </c>
      <c r="V126">
        <v>70.974000000000004</v>
      </c>
      <c r="W126">
        <v>70.974000000000004</v>
      </c>
    </row>
    <row r="127" spans="1:23" x14ac:dyDescent="0.3">
      <c r="A127" t="s">
        <v>127</v>
      </c>
      <c r="B127" s="2" t="s">
        <v>19</v>
      </c>
      <c r="C127">
        <v>5.5520930715695584</v>
      </c>
      <c r="D127">
        <v>7.851</v>
      </c>
      <c r="F127">
        <v>21.312000000000001</v>
      </c>
      <c r="G127">
        <v>19.256</v>
      </c>
      <c r="H127">
        <v>51.834000000000003</v>
      </c>
      <c r="I127">
        <v>1.7549743817380099</v>
      </c>
      <c r="J127">
        <v>8.4038846318799134</v>
      </c>
      <c r="L127">
        <v>7.2855611150822019</v>
      </c>
      <c r="M127">
        <v>30072045</v>
      </c>
      <c r="N127">
        <v>42.198999999999998</v>
      </c>
      <c r="O127">
        <v>57.282899999999998</v>
      </c>
      <c r="P127">
        <v>2.3452658410461664</v>
      </c>
      <c r="Q127">
        <v>2.8273294496068617</v>
      </c>
      <c r="R127">
        <v>22.848730897276269</v>
      </c>
      <c r="S127">
        <v>2.1990957827947795</v>
      </c>
      <c r="T127">
        <v>-0.53103398238945687</v>
      </c>
      <c r="U127">
        <v>33.622825887243998</v>
      </c>
      <c r="V127">
        <v>71.212999999999994</v>
      </c>
      <c r="W127">
        <v>71.212999999999994</v>
      </c>
    </row>
    <row r="128" spans="1:23" x14ac:dyDescent="0.3">
      <c r="A128" t="s">
        <v>127</v>
      </c>
      <c r="B128" s="2" t="s">
        <v>20</v>
      </c>
      <c r="C128">
        <v>3.5501648378683797</v>
      </c>
      <c r="D128">
        <v>7.9740000000000002</v>
      </c>
      <c r="F128">
        <v>17.631</v>
      </c>
      <c r="G128">
        <v>17.436</v>
      </c>
      <c r="H128">
        <v>46.054000000000002</v>
      </c>
      <c r="I128">
        <v>1.6249538695169601</v>
      </c>
      <c r="J128">
        <v>7.7127472450671268</v>
      </c>
      <c r="L128">
        <v>7.5399018301205984</v>
      </c>
      <c r="M128">
        <v>30264331</v>
      </c>
      <c r="N128">
        <v>41.616</v>
      </c>
      <c r="O128">
        <v>71.914199999999994</v>
      </c>
      <c r="P128">
        <v>2.5549010614590051</v>
      </c>
      <c r="Q128">
        <v>1.5246294899717194</v>
      </c>
      <c r="R128">
        <v>25.789474254786594</v>
      </c>
      <c r="S128">
        <v>4.8878154302078078</v>
      </c>
      <c r="T128">
        <v>-6.8294371805806525E-2</v>
      </c>
      <c r="U128">
        <v>38.773998260497997</v>
      </c>
      <c r="V128">
        <v>69.790000000000006</v>
      </c>
      <c r="W128">
        <v>69.790000000000006</v>
      </c>
    </row>
    <row r="129" spans="1:23" x14ac:dyDescent="0.3">
      <c r="A129" t="s">
        <v>127</v>
      </c>
      <c r="B129" s="2" t="s">
        <v>21</v>
      </c>
      <c r="C129">
        <v>3.2906460120221084</v>
      </c>
      <c r="D129">
        <v>7.4409999999999998</v>
      </c>
      <c r="F129">
        <v>15.923999999999999</v>
      </c>
      <c r="G129">
        <v>17.619</v>
      </c>
      <c r="H129">
        <v>42.743000000000002</v>
      </c>
      <c r="I129">
        <v>1.4908053906311001</v>
      </c>
      <c r="J129">
        <v>7.4144321712115975</v>
      </c>
      <c r="L129">
        <v>7.5580435533010162</v>
      </c>
      <c r="M129">
        <v>31865548</v>
      </c>
      <c r="N129">
        <v>42.987000000000002</v>
      </c>
      <c r="O129">
        <v>72.055999999999997</v>
      </c>
      <c r="P129">
        <v>3.1708192705581415</v>
      </c>
      <c r="Q129">
        <v>1.2061786105566477</v>
      </c>
      <c r="R129">
        <v>28.230754389427748</v>
      </c>
      <c r="S129">
        <v>4.3662066987086856</v>
      </c>
      <c r="T129">
        <v>1.6352103723588689</v>
      </c>
      <c r="U129">
        <v>35.118531778315699</v>
      </c>
      <c r="V129">
        <v>68.975999999999999</v>
      </c>
      <c r="W129">
        <v>68.975999999999999</v>
      </c>
    </row>
    <row r="130" spans="1:23" x14ac:dyDescent="0.3">
      <c r="A130" t="s">
        <v>127</v>
      </c>
      <c r="B130" s="2" t="s">
        <v>22</v>
      </c>
      <c r="C130">
        <v>6.5878456088696709</v>
      </c>
      <c r="D130">
        <v>7.3440000000000003</v>
      </c>
      <c r="F130">
        <v>14.454000000000001</v>
      </c>
      <c r="G130">
        <v>18.870999999999999</v>
      </c>
      <c r="H130">
        <v>35.750999999999998</v>
      </c>
      <c r="I130">
        <v>1.4860969754029401</v>
      </c>
      <c r="J130">
        <v>5.9429335033471471</v>
      </c>
      <c r="L130">
        <v>7.268090532355755</v>
      </c>
      <c r="M130">
        <v>32394044</v>
      </c>
      <c r="N130">
        <v>42.837000000000003</v>
      </c>
      <c r="O130">
        <v>72.198099999999997</v>
      </c>
      <c r="P130">
        <v>3.4020498750804142</v>
      </c>
      <c r="Q130">
        <v>2.3911808096907872</v>
      </c>
      <c r="R130">
        <v>30.84700211667198</v>
      </c>
      <c r="S130">
        <v>0.14266965247703695</v>
      </c>
      <c r="T130">
        <v>9.7851068449782463</v>
      </c>
      <c r="U130">
        <v>36.462230682372997</v>
      </c>
      <c r="V130">
        <v>71.010000000000005</v>
      </c>
      <c r="W130">
        <v>71.010000000000005</v>
      </c>
    </row>
    <row r="131" spans="1:23" x14ac:dyDescent="0.3">
      <c r="A131" t="s">
        <v>127</v>
      </c>
      <c r="B131" s="2" t="s">
        <v>23</v>
      </c>
      <c r="C131">
        <v>3.7602805227924705</v>
      </c>
      <c r="D131">
        <v>6.7530000000000001</v>
      </c>
      <c r="F131">
        <v>15.166</v>
      </c>
      <c r="G131">
        <v>16.911999999999999</v>
      </c>
      <c r="H131">
        <v>36.588999999999999</v>
      </c>
      <c r="I131">
        <v>1.68834126904494</v>
      </c>
      <c r="J131">
        <v>4.9332694220653401</v>
      </c>
      <c r="L131">
        <v>6.7885066073222129</v>
      </c>
      <c r="M131">
        <v>34567534</v>
      </c>
      <c r="N131">
        <v>44.668999999999997</v>
      </c>
      <c r="O131">
        <v>72.689899999999994</v>
      </c>
      <c r="P131">
        <v>3.1628687839356675</v>
      </c>
      <c r="Q131">
        <v>2.4854639836359729</v>
      </c>
      <c r="R131">
        <v>29.257821539346363</v>
      </c>
      <c r="S131">
        <v>-5.6416623996429056</v>
      </c>
      <c r="T131">
        <v>20.256378579562814</v>
      </c>
      <c r="U131">
        <v>37.900558471679702</v>
      </c>
      <c r="V131">
        <v>71.632999999999996</v>
      </c>
      <c r="W131">
        <v>71.632999999999996</v>
      </c>
    </row>
    <row r="132" spans="1:23" x14ac:dyDescent="0.3">
      <c r="A132" t="s">
        <v>127</v>
      </c>
      <c r="B132" s="2" t="s">
        <v>104</v>
      </c>
      <c r="C132">
        <v>2.3991692678251013</v>
      </c>
      <c r="D132">
        <v>5.9450000000000003</v>
      </c>
      <c r="F132">
        <v>15.282</v>
      </c>
      <c r="G132">
        <v>15.254</v>
      </c>
      <c r="H132">
        <v>36.834000000000003</v>
      </c>
      <c r="I132">
        <v>1.73324205302065</v>
      </c>
      <c r="J132">
        <v>7.5975702363559865</v>
      </c>
      <c r="L132">
        <v>6.2703198816915346</v>
      </c>
      <c r="M132">
        <v>35343331</v>
      </c>
      <c r="N132">
        <v>47.954999999999998</v>
      </c>
      <c r="P132">
        <v>3.8129008781420697</v>
      </c>
      <c r="Q132">
        <v>11.971935088314229</v>
      </c>
      <c r="R132">
        <v>27.569227972914856</v>
      </c>
      <c r="S132">
        <v>-7.0309909410936937</v>
      </c>
      <c r="U132">
        <v>37.578127446367603</v>
      </c>
    </row>
    <row r="133" spans="1:23" x14ac:dyDescent="0.3">
      <c r="A133" t="s">
        <v>127</v>
      </c>
      <c r="B133" s="2" t="s">
        <v>105</v>
      </c>
      <c r="F133">
        <v>15.307</v>
      </c>
      <c r="H133">
        <v>38.710999999999999</v>
      </c>
      <c r="M133">
        <v>36106369</v>
      </c>
      <c r="U133">
        <v>38.039834650994699</v>
      </c>
    </row>
    <row r="134" spans="1:23" x14ac:dyDescent="0.3">
      <c r="A134" t="s">
        <v>128</v>
      </c>
      <c r="B134" s="7">
        <v>1960</v>
      </c>
      <c r="V134">
        <v>63.927</v>
      </c>
    </row>
    <row r="135" spans="1:23" x14ac:dyDescent="0.3">
      <c r="A135" t="s">
        <v>128</v>
      </c>
      <c r="B135" s="2" t="s">
        <v>60</v>
      </c>
      <c r="I135">
        <v>3.0556995510505698</v>
      </c>
      <c r="V135">
        <v>64.266999999999996</v>
      </c>
    </row>
    <row r="136" spans="1:23" x14ac:dyDescent="0.3">
      <c r="A136" t="s">
        <v>128</v>
      </c>
      <c r="B136" s="2" t="s">
        <v>61</v>
      </c>
      <c r="I136">
        <v>3.1651231773947299</v>
      </c>
      <c r="V136">
        <v>64.594999999999999</v>
      </c>
    </row>
    <row r="137" spans="1:23" x14ac:dyDescent="0.3">
      <c r="A137" t="s">
        <v>128</v>
      </c>
      <c r="B137" s="2" t="s">
        <v>62</v>
      </c>
      <c r="I137">
        <v>3.13116607387943</v>
      </c>
      <c r="V137">
        <v>64.879000000000005</v>
      </c>
    </row>
    <row r="138" spans="1:23" x14ac:dyDescent="0.3">
      <c r="A138" t="s">
        <v>128</v>
      </c>
      <c r="B138" s="2" t="s">
        <v>63</v>
      </c>
      <c r="I138">
        <v>3.0109308992386401</v>
      </c>
      <c r="V138">
        <v>65.102999999999994</v>
      </c>
    </row>
    <row r="139" spans="1:23" x14ac:dyDescent="0.3">
      <c r="A139" t="s">
        <v>128</v>
      </c>
      <c r="B139" s="2" t="s">
        <v>64</v>
      </c>
      <c r="I139">
        <v>2.8301334379748502</v>
      </c>
      <c r="V139">
        <v>65.316999999999993</v>
      </c>
    </row>
    <row r="140" spans="1:23" x14ac:dyDescent="0.3">
      <c r="A140" t="s">
        <v>128</v>
      </c>
      <c r="B140" s="2" t="s">
        <v>65</v>
      </c>
      <c r="I140">
        <v>2.8053632802344901</v>
      </c>
      <c r="V140">
        <v>65.504000000000005</v>
      </c>
    </row>
    <row r="141" spans="1:23" x14ac:dyDescent="0.3">
      <c r="A141" t="s">
        <v>128</v>
      </c>
      <c r="B141" s="2" t="s">
        <v>66</v>
      </c>
      <c r="I141">
        <v>2.6854022782319098</v>
      </c>
      <c r="V141">
        <v>65.677000000000007</v>
      </c>
    </row>
    <row r="142" spans="1:23" x14ac:dyDescent="0.3">
      <c r="A142" t="s">
        <v>128</v>
      </c>
      <c r="B142" s="2" t="s">
        <v>67</v>
      </c>
      <c r="I142">
        <v>2.6666315191952301</v>
      </c>
      <c r="V142">
        <v>65.802000000000007</v>
      </c>
    </row>
    <row r="143" spans="1:23" x14ac:dyDescent="0.3">
      <c r="A143" t="s">
        <v>128</v>
      </c>
      <c r="B143" s="2" t="s">
        <v>68</v>
      </c>
      <c r="I143">
        <v>2.6899276379657699</v>
      </c>
      <c r="V143">
        <v>65.918000000000006</v>
      </c>
    </row>
    <row r="144" spans="1:23" x14ac:dyDescent="0.3">
      <c r="A144" t="s">
        <v>128</v>
      </c>
      <c r="B144" s="2" t="s">
        <v>69</v>
      </c>
      <c r="I144">
        <v>2.4588274737499698</v>
      </c>
      <c r="V144">
        <v>66.018000000000001</v>
      </c>
    </row>
    <row r="145" spans="1:22" x14ac:dyDescent="0.3">
      <c r="A145" t="s">
        <v>128</v>
      </c>
      <c r="B145" s="2" t="s">
        <v>70</v>
      </c>
      <c r="I145">
        <v>2.4916300636034698</v>
      </c>
      <c r="U145">
        <v>18.5855503082275</v>
      </c>
      <c r="V145">
        <v>66.12</v>
      </c>
    </row>
    <row r="146" spans="1:22" x14ac:dyDescent="0.3">
      <c r="A146" t="s">
        <v>128</v>
      </c>
      <c r="B146" s="2" t="s">
        <v>71</v>
      </c>
      <c r="I146">
        <v>2.5592377307695</v>
      </c>
      <c r="U146">
        <v>18.0013103485107</v>
      </c>
      <c r="V146">
        <v>66.200999999999993</v>
      </c>
    </row>
    <row r="147" spans="1:22" x14ac:dyDescent="0.3">
      <c r="A147" t="s">
        <v>128</v>
      </c>
      <c r="B147" s="2" t="s">
        <v>72</v>
      </c>
      <c r="I147">
        <v>2.4872491453602898</v>
      </c>
      <c r="V147">
        <v>66.298000000000002</v>
      </c>
    </row>
    <row r="148" spans="1:22" x14ac:dyDescent="0.3">
      <c r="A148" t="s">
        <v>128</v>
      </c>
      <c r="B148" s="2" t="s">
        <v>73</v>
      </c>
      <c r="I148">
        <v>2.39061176166333</v>
      </c>
      <c r="V148">
        <v>66.41</v>
      </c>
    </row>
    <row r="149" spans="1:22" x14ac:dyDescent="0.3">
      <c r="A149" t="s">
        <v>128</v>
      </c>
      <c r="B149" s="2" t="s">
        <v>74</v>
      </c>
      <c r="I149">
        <v>2.1773347676352701</v>
      </c>
      <c r="N149">
        <v>44.57</v>
      </c>
      <c r="U149">
        <v>20.4375495910644</v>
      </c>
      <c r="V149">
        <v>57.744</v>
      </c>
    </row>
    <row r="150" spans="1:22" x14ac:dyDescent="0.3">
      <c r="A150" t="s">
        <v>128</v>
      </c>
      <c r="B150" s="2" t="s">
        <v>75</v>
      </c>
      <c r="I150">
        <v>1.2280629497393101</v>
      </c>
      <c r="V150">
        <v>36.436</v>
      </c>
    </row>
    <row r="151" spans="1:22" x14ac:dyDescent="0.3">
      <c r="A151" t="s">
        <v>128</v>
      </c>
      <c r="B151" s="2" t="s">
        <v>76</v>
      </c>
      <c r="I151">
        <v>1.30038067358211</v>
      </c>
      <c r="V151">
        <v>60.331000000000003</v>
      </c>
    </row>
    <row r="152" spans="1:22" x14ac:dyDescent="0.3">
      <c r="A152" t="s">
        <v>128</v>
      </c>
      <c r="B152" s="2" t="s">
        <v>77</v>
      </c>
      <c r="I152">
        <v>2.1676324638126099</v>
      </c>
      <c r="V152">
        <v>59.996000000000002</v>
      </c>
    </row>
    <row r="153" spans="1:22" x14ac:dyDescent="0.3">
      <c r="A153" t="s">
        <v>128</v>
      </c>
      <c r="B153" s="2" t="s">
        <v>78</v>
      </c>
      <c r="I153">
        <v>2.1017309604415999</v>
      </c>
      <c r="U153">
        <v>25.9975395202637</v>
      </c>
      <c r="V153">
        <v>59.557000000000002</v>
      </c>
    </row>
    <row r="154" spans="1:22" x14ac:dyDescent="0.3">
      <c r="A154" t="s">
        <v>128</v>
      </c>
      <c r="B154" s="2" t="s">
        <v>79</v>
      </c>
      <c r="I154">
        <v>2.1323532073659601</v>
      </c>
      <c r="U154">
        <v>27.4139003753662</v>
      </c>
      <c r="V154">
        <v>59.908999999999999</v>
      </c>
    </row>
    <row r="155" spans="1:22" x14ac:dyDescent="0.3">
      <c r="A155" t="s">
        <v>128</v>
      </c>
      <c r="B155" s="2" t="s">
        <v>80</v>
      </c>
      <c r="I155">
        <v>2.1573144754580098</v>
      </c>
      <c r="U155">
        <v>24.807989120483398</v>
      </c>
      <c r="V155">
        <v>60.279000000000003</v>
      </c>
    </row>
    <row r="156" spans="1:22" x14ac:dyDescent="0.3">
      <c r="A156" t="s">
        <v>128</v>
      </c>
      <c r="B156" s="2" t="s">
        <v>81</v>
      </c>
      <c r="I156">
        <v>1.5155523205969801</v>
      </c>
      <c r="U156">
        <v>21.5360107421875</v>
      </c>
      <c r="V156">
        <v>47.19</v>
      </c>
    </row>
    <row r="157" spans="1:22" x14ac:dyDescent="0.3">
      <c r="A157" t="s">
        <v>128</v>
      </c>
      <c r="B157" s="2" t="s">
        <v>82</v>
      </c>
      <c r="I157">
        <v>1.3029607284836799</v>
      </c>
      <c r="U157">
        <v>22.147310256958001</v>
      </c>
      <c r="V157">
        <v>60.752000000000002</v>
      </c>
    </row>
    <row r="158" spans="1:22" x14ac:dyDescent="0.3">
      <c r="A158" t="s">
        <v>128</v>
      </c>
      <c r="B158" s="2" t="s">
        <v>83</v>
      </c>
      <c r="I158">
        <v>1.8486571022952101</v>
      </c>
      <c r="V158">
        <v>61.167000000000002</v>
      </c>
    </row>
    <row r="159" spans="1:22" x14ac:dyDescent="0.3">
      <c r="A159" t="s">
        <v>128</v>
      </c>
      <c r="B159" s="2" t="s">
        <v>84</v>
      </c>
      <c r="I159">
        <v>2.0292935755381798</v>
      </c>
      <c r="U159">
        <v>20.895439147949201</v>
      </c>
      <c r="V159">
        <v>61.573999999999998</v>
      </c>
    </row>
    <row r="160" spans="1:22" x14ac:dyDescent="0.3">
      <c r="A160" t="s">
        <v>128</v>
      </c>
      <c r="B160" s="2" t="s">
        <v>85</v>
      </c>
      <c r="I160">
        <v>2.54669479096914</v>
      </c>
      <c r="U160">
        <v>23.347059249877901</v>
      </c>
      <c r="V160">
        <v>62.011000000000003</v>
      </c>
    </row>
    <row r="161" spans="1:22" x14ac:dyDescent="0.3">
      <c r="A161" t="s">
        <v>128</v>
      </c>
      <c r="B161" s="2" t="s">
        <v>86</v>
      </c>
      <c r="I161">
        <v>2.5484783148911601</v>
      </c>
      <c r="U161">
        <v>24.222080230712901</v>
      </c>
      <c r="V161">
        <v>62.539000000000001</v>
      </c>
    </row>
    <row r="162" spans="1:22" x14ac:dyDescent="0.3">
      <c r="A162" t="s">
        <v>128</v>
      </c>
      <c r="B162" s="2" t="s">
        <v>87</v>
      </c>
      <c r="I162">
        <v>2.0203008597471102</v>
      </c>
      <c r="Q162">
        <v>-8.148384943733945E-3</v>
      </c>
      <c r="R162">
        <v>54.458701984574191</v>
      </c>
      <c r="V162">
        <v>62.92</v>
      </c>
    </row>
    <row r="163" spans="1:22" x14ac:dyDescent="0.3">
      <c r="A163" t="s">
        <v>128</v>
      </c>
      <c r="B163" s="2" t="s">
        <v>88</v>
      </c>
      <c r="C163">
        <v>-42.45111821576981</v>
      </c>
      <c r="I163">
        <v>2.0240423896766799</v>
      </c>
      <c r="L163">
        <v>18.074073253838165</v>
      </c>
      <c r="Q163">
        <v>5.8498924491373325E-2</v>
      </c>
      <c r="R163">
        <v>65.044219803540855</v>
      </c>
      <c r="S163">
        <v>-19.153449563546232</v>
      </c>
      <c r="V163">
        <v>65.114000000000004</v>
      </c>
    </row>
    <row r="164" spans="1:22" x14ac:dyDescent="0.3">
      <c r="A164" t="s">
        <v>128</v>
      </c>
      <c r="B164" s="2" t="s">
        <v>89</v>
      </c>
      <c r="C164">
        <v>26.533160093249137</v>
      </c>
      <c r="I164">
        <v>1.9631384648893899</v>
      </c>
      <c r="L164">
        <v>18.872334585064166</v>
      </c>
      <c r="M164">
        <v>1020303</v>
      </c>
      <c r="O164">
        <v>0</v>
      </c>
      <c r="Q164">
        <v>0.22723386580090324</v>
      </c>
      <c r="R164">
        <v>78.472328546280423</v>
      </c>
      <c r="S164">
        <v>21.160398691457679</v>
      </c>
      <c r="V164">
        <v>65.478999999999999</v>
      </c>
    </row>
    <row r="165" spans="1:22" x14ac:dyDescent="0.3">
      <c r="A165" t="s">
        <v>128</v>
      </c>
      <c r="B165" s="2" t="s">
        <v>90</v>
      </c>
      <c r="C165">
        <v>49.447379184914126</v>
      </c>
      <c r="F165">
        <v>10.553000000000001</v>
      </c>
      <c r="H165">
        <v>18.739999999999998</v>
      </c>
      <c r="I165">
        <v>2.0302491639836502</v>
      </c>
      <c r="L165">
        <v>14.001224460337955</v>
      </c>
      <c r="M165">
        <v>1044534</v>
      </c>
      <c r="Q165">
        <v>3.4751721709953748E-2</v>
      </c>
      <c r="R165">
        <v>45.274004636132112</v>
      </c>
      <c r="S165">
        <v>-6.5319721136367361</v>
      </c>
      <c r="V165">
        <v>70.864999999999995</v>
      </c>
    </row>
    <row r="166" spans="1:22" x14ac:dyDescent="0.3">
      <c r="A166" t="s">
        <v>128</v>
      </c>
      <c r="B166" s="2" t="s">
        <v>91</v>
      </c>
      <c r="C166">
        <v>16.438345704572811</v>
      </c>
      <c r="F166">
        <v>10.180999999999999</v>
      </c>
      <c r="H166">
        <v>18.530999999999999</v>
      </c>
      <c r="I166">
        <v>2.1159367104979001</v>
      </c>
      <c r="L166">
        <v>14.001224460142369</v>
      </c>
      <c r="M166">
        <v>1066878</v>
      </c>
      <c r="Q166">
        <v>0.3159022833730728</v>
      </c>
      <c r="R166">
        <v>47.998156661752638</v>
      </c>
      <c r="S166">
        <v>-28.985908595508331</v>
      </c>
      <c r="U166">
        <v>23.675479888916001</v>
      </c>
      <c r="V166">
        <v>71.168999999999997</v>
      </c>
    </row>
    <row r="167" spans="1:22" x14ac:dyDescent="0.3">
      <c r="A167" t="s">
        <v>128</v>
      </c>
      <c r="B167" s="2" t="s">
        <v>92</v>
      </c>
      <c r="C167">
        <v>10.765669797188892</v>
      </c>
      <c r="F167">
        <v>10.172000000000001</v>
      </c>
      <c r="H167">
        <v>18.745999999999999</v>
      </c>
      <c r="I167">
        <v>1.9365252550960701</v>
      </c>
      <c r="K167">
        <v>1.66651999950409</v>
      </c>
      <c r="L167">
        <v>11.970529961422132</v>
      </c>
      <c r="M167">
        <v>1091000</v>
      </c>
      <c r="Q167">
        <v>9.3178520251242319E-2</v>
      </c>
      <c r="R167">
        <v>42.647392991271857</v>
      </c>
      <c r="S167">
        <v>3.0344908964582555</v>
      </c>
      <c r="V167">
        <v>71.558999999999997</v>
      </c>
    </row>
    <row r="168" spans="1:22" x14ac:dyDescent="0.3">
      <c r="A168" t="s">
        <v>128</v>
      </c>
      <c r="B168" s="2" t="s">
        <v>93</v>
      </c>
      <c r="C168">
        <v>8.1052419773450168</v>
      </c>
      <c r="F168">
        <v>10.256</v>
      </c>
      <c r="H168">
        <v>19.061</v>
      </c>
      <c r="I168">
        <v>1.79377053397478</v>
      </c>
      <c r="K168">
        <v>1.9312599897384599</v>
      </c>
      <c r="L168">
        <v>12.582667865860339</v>
      </c>
      <c r="M168">
        <v>1116017</v>
      </c>
      <c r="Q168">
        <v>0.2350213710275596</v>
      </c>
      <c r="R168">
        <v>48.363436445717454</v>
      </c>
      <c r="S168">
        <v>14.84184474451072</v>
      </c>
      <c r="V168">
        <v>72.03</v>
      </c>
    </row>
    <row r="169" spans="1:22" x14ac:dyDescent="0.3">
      <c r="A169" t="s">
        <v>128</v>
      </c>
      <c r="B169" s="2" t="s">
        <v>94</v>
      </c>
      <c r="C169">
        <v>6.4488625698525794</v>
      </c>
      <c r="F169">
        <v>10.346</v>
      </c>
      <c r="H169">
        <v>19.364999999999998</v>
      </c>
      <c r="I169">
        <v>1.8072128760113</v>
      </c>
      <c r="K169">
        <v>2.2246301174163801</v>
      </c>
      <c r="L169">
        <v>12.373347605876981</v>
      </c>
      <c r="M169">
        <v>1143512</v>
      </c>
      <c r="O169">
        <v>7.1599999999999997E-2</v>
      </c>
      <c r="Q169">
        <v>0.29866550632029004</v>
      </c>
      <c r="R169">
        <v>54.313292543839189</v>
      </c>
      <c r="S169">
        <v>12.659878622915896</v>
      </c>
      <c r="V169">
        <v>72.382999999999996</v>
      </c>
    </row>
    <row r="170" spans="1:22" x14ac:dyDescent="0.3">
      <c r="A170" t="s">
        <v>128</v>
      </c>
      <c r="B170" s="2" t="s">
        <v>95</v>
      </c>
      <c r="C170">
        <v>11.285935716166804</v>
      </c>
      <c r="F170">
        <v>10.327999999999999</v>
      </c>
      <c r="H170">
        <v>19.527999999999999</v>
      </c>
      <c r="I170">
        <v>1.8522411051707801</v>
      </c>
      <c r="K170">
        <v>2.0846700668335001</v>
      </c>
      <c r="L170">
        <v>14.371794914787747</v>
      </c>
      <c r="M170">
        <v>1170050</v>
      </c>
      <c r="O170">
        <v>0.14000000000000001</v>
      </c>
      <c r="Q170">
        <v>0.58435887503207296</v>
      </c>
      <c r="R170">
        <v>58.97421798333221</v>
      </c>
      <c r="S170">
        <v>23.069254636248552</v>
      </c>
      <c r="U170">
        <v>21.619470596313501</v>
      </c>
      <c r="V170">
        <v>72.614000000000004</v>
      </c>
    </row>
    <row r="171" spans="1:22" x14ac:dyDescent="0.3">
      <c r="A171" t="s">
        <v>128</v>
      </c>
      <c r="B171" s="2" t="s">
        <v>96</v>
      </c>
      <c r="C171">
        <v>1.0549666674066742</v>
      </c>
      <c r="D171">
        <v>8.6199999999999992</v>
      </c>
      <c r="F171">
        <v>10.523999999999999</v>
      </c>
      <c r="H171">
        <v>19.933</v>
      </c>
      <c r="I171">
        <v>1.80828501715332</v>
      </c>
      <c r="L171">
        <v>17.039175257731959</v>
      </c>
      <c r="M171">
        <v>1202800</v>
      </c>
      <c r="N171">
        <v>46.8</v>
      </c>
      <c r="O171">
        <v>1.24</v>
      </c>
      <c r="Q171">
        <v>11.424677113402062</v>
      </c>
      <c r="R171">
        <v>63.716701030927837</v>
      </c>
      <c r="S171">
        <v>7.8381767637066755</v>
      </c>
      <c r="V171">
        <v>72.94</v>
      </c>
    </row>
    <row r="172" spans="1:22" x14ac:dyDescent="0.3">
      <c r="A172" t="s">
        <v>128</v>
      </c>
      <c r="B172" s="2" t="s">
        <v>97</v>
      </c>
      <c r="C172">
        <v>3.6657237850568265</v>
      </c>
      <c r="F172">
        <v>10.436999999999999</v>
      </c>
      <c r="H172">
        <v>19.861000000000001</v>
      </c>
      <c r="I172">
        <v>1.75827835901774</v>
      </c>
      <c r="L172">
        <v>16.696623197827833</v>
      </c>
      <c r="M172">
        <v>1234245</v>
      </c>
      <c r="O172">
        <v>2.72</v>
      </c>
      <c r="Q172">
        <v>6.5802246247728027</v>
      </c>
      <c r="R172">
        <v>71.44257906612107</v>
      </c>
      <c r="V172">
        <v>73.200999999999993</v>
      </c>
    </row>
    <row r="173" spans="1:22" x14ac:dyDescent="0.3">
      <c r="A173" t="s">
        <v>128</v>
      </c>
      <c r="B173" s="2" t="s">
        <v>98</v>
      </c>
      <c r="C173">
        <v>-0.52558463478308681</v>
      </c>
      <c r="F173">
        <v>10.602</v>
      </c>
      <c r="H173">
        <v>20.114000000000001</v>
      </c>
      <c r="I173">
        <v>1.75422008711836</v>
      </c>
      <c r="L173">
        <v>16.943141516988902</v>
      </c>
      <c r="M173">
        <v>1269194</v>
      </c>
      <c r="O173">
        <v>5.38</v>
      </c>
      <c r="Q173">
        <v>5.0122115729693784</v>
      </c>
      <c r="R173">
        <v>80.060633794760321</v>
      </c>
      <c r="S173">
        <v>18.514983736397149</v>
      </c>
      <c r="U173">
        <v>28.091859817504901</v>
      </c>
      <c r="V173">
        <v>73.513000000000005</v>
      </c>
    </row>
    <row r="174" spans="1:22" x14ac:dyDescent="0.3">
      <c r="A174" t="s">
        <v>128</v>
      </c>
      <c r="B174" s="2" t="s">
        <v>99</v>
      </c>
      <c r="C174">
        <v>1.341871619704051</v>
      </c>
      <c r="F174">
        <v>10.426</v>
      </c>
      <c r="H174">
        <v>19.881</v>
      </c>
      <c r="I174">
        <v>1.7255245665349901</v>
      </c>
      <c r="L174">
        <v>17.267486548808609</v>
      </c>
      <c r="M174">
        <v>1302966</v>
      </c>
      <c r="O174">
        <v>7.9527400000000004</v>
      </c>
      <c r="Q174">
        <v>5.7558169196771711</v>
      </c>
      <c r="R174">
        <v>85.485011529592626</v>
      </c>
      <c r="S174">
        <v>20.670411182638336</v>
      </c>
      <c r="U174">
        <v>28.109479904174801</v>
      </c>
      <c r="V174">
        <v>73.894999999999996</v>
      </c>
    </row>
    <row r="175" spans="1:22" x14ac:dyDescent="0.3">
      <c r="A175" t="s">
        <v>128</v>
      </c>
      <c r="B175" s="2" t="s">
        <v>100</v>
      </c>
      <c r="C175">
        <v>3.8396692770297278</v>
      </c>
      <c r="F175">
        <v>10.25</v>
      </c>
      <c r="H175">
        <v>19.66</v>
      </c>
      <c r="I175">
        <v>1.66252495800846</v>
      </c>
      <c r="K175">
        <v>2.84148001670837</v>
      </c>
      <c r="L175">
        <v>17.596873003344985</v>
      </c>
      <c r="M175">
        <v>1334625</v>
      </c>
      <c r="O175">
        <v>6.78322</v>
      </c>
      <c r="Q175">
        <v>8.2375495264404108</v>
      </c>
      <c r="R175">
        <v>83.406622317435264</v>
      </c>
      <c r="S175">
        <v>19.00416045914324</v>
      </c>
      <c r="U175">
        <v>31.808469772338899</v>
      </c>
      <c r="V175">
        <v>74.353999999999999</v>
      </c>
    </row>
    <row r="176" spans="1:22" x14ac:dyDescent="0.3">
      <c r="A176" t="s">
        <v>128</v>
      </c>
      <c r="B176" s="2" t="s">
        <v>101</v>
      </c>
      <c r="C176">
        <v>3.4231498284378148</v>
      </c>
      <c r="F176">
        <v>9.9730000000000008</v>
      </c>
      <c r="H176">
        <v>19.300999999999998</v>
      </c>
      <c r="I176">
        <v>1.38937527602441</v>
      </c>
      <c r="J176">
        <v>13.285400003506858</v>
      </c>
      <c r="K176">
        <v>2.5527100563049299</v>
      </c>
      <c r="L176">
        <v>17.103075644222777</v>
      </c>
      <c r="M176">
        <v>1363504</v>
      </c>
      <c r="O176">
        <v>7</v>
      </c>
      <c r="Q176">
        <v>6.9755291458852868</v>
      </c>
      <c r="R176">
        <v>79.407550568024391</v>
      </c>
      <c r="S176">
        <v>11.114353841506832</v>
      </c>
      <c r="U176">
        <v>33.239940643310497</v>
      </c>
      <c r="V176">
        <v>74.835999999999999</v>
      </c>
    </row>
    <row r="177" spans="1:23" x14ac:dyDescent="0.3">
      <c r="A177" t="s">
        <v>128</v>
      </c>
      <c r="B177" s="2" t="s">
        <v>102</v>
      </c>
      <c r="C177">
        <v>3.2270982687904137</v>
      </c>
      <c r="F177">
        <v>9.7550000000000008</v>
      </c>
      <c r="H177">
        <v>19.027999999999999</v>
      </c>
      <c r="I177">
        <v>1.37957282493925</v>
      </c>
      <c r="J177">
        <v>23.61708336671866</v>
      </c>
      <c r="L177">
        <v>16.634186622625929</v>
      </c>
      <c r="M177">
        <v>1393524</v>
      </c>
      <c r="O177">
        <v>8</v>
      </c>
      <c r="Q177">
        <v>14.241059032638137</v>
      </c>
      <c r="R177">
        <v>75.427620148637487</v>
      </c>
      <c r="S177">
        <v>11.665946114404051</v>
      </c>
      <c r="U177">
        <v>33.000770568847699</v>
      </c>
      <c r="V177">
        <v>75.275000000000006</v>
      </c>
    </row>
    <row r="178" spans="1:23" x14ac:dyDescent="0.3">
      <c r="A178" t="s">
        <v>128</v>
      </c>
      <c r="B178" s="2" t="s">
        <v>103</v>
      </c>
      <c r="C178">
        <v>6.6794446164110326</v>
      </c>
      <c r="D178">
        <v>7.85</v>
      </c>
      <c r="F178">
        <v>9.5120000000000005</v>
      </c>
      <c r="G178">
        <v>19.88</v>
      </c>
      <c r="H178">
        <v>18.727</v>
      </c>
      <c r="I178">
        <v>1.6169716035759001</v>
      </c>
      <c r="J178">
        <v>26.424770964285692</v>
      </c>
      <c r="K178">
        <v>2.6409499645233101</v>
      </c>
      <c r="L178">
        <v>14.44954470231829</v>
      </c>
      <c r="M178">
        <v>1425884</v>
      </c>
      <c r="N178">
        <v>44.02</v>
      </c>
      <c r="O178">
        <v>9</v>
      </c>
      <c r="Q178">
        <v>8.9735160946134336</v>
      </c>
      <c r="R178">
        <v>75.302887772523803</v>
      </c>
      <c r="S178">
        <v>12.193543974621999</v>
      </c>
      <c r="U178">
        <v>34.897731781005902</v>
      </c>
      <c r="V178">
        <v>75.692999999999998</v>
      </c>
    </row>
    <row r="179" spans="1:23" x14ac:dyDescent="0.3">
      <c r="A179" t="s">
        <v>128</v>
      </c>
      <c r="B179" s="2" t="s">
        <v>5</v>
      </c>
      <c r="C179">
        <v>2.6857793101634542</v>
      </c>
      <c r="F179">
        <v>9.7420000000000009</v>
      </c>
      <c r="H179">
        <v>19.428000000000001</v>
      </c>
      <c r="I179">
        <v>1.5495466067564401</v>
      </c>
      <c r="J179">
        <v>22.906608060488072</v>
      </c>
      <c r="K179">
        <v>2.64618992805481</v>
      </c>
      <c r="L179">
        <v>14.54114592884525</v>
      </c>
      <c r="M179">
        <v>1454597</v>
      </c>
      <c r="O179">
        <v>10.14</v>
      </c>
      <c r="Q179">
        <v>12.203849591060829</v>
      </c>
      <c r="R179">
        <v>67.265084952062068</v>
      </c>
      <c r="S179">
        <v>11.827843241889946</v>
      </c>
      <c r="U179">
        <v>36.915519714355497</v>
      </c>
      <c r="V179">
        <v>76.073999999999998</v>
      </c>
    </row>
    <row r="180" spans="1:23" x14ac:dyDescent="0.3">
      <c r="A180" t="s">
        <v>128</v>
      </c>
      <c r="B180" s="2" t="s">
        <v>6</v>
      </c>
      <c r="C180">
        <v>1.5495150008321303</v>
      </c>
      <c r="F180">
        <v>9.9990000000000006</v>
      </c>
      <c r="H180">
        <v>20.187999999999999</v>
      </c>
      <c r="I180">
        <v>1.69887292002787</v>
      </c>
      <c r="J180">
        <v>23.622150884701494</v>
      </c>
      <c r="K180">
        <v>2.7797598838806099</v>
      </c>
      <c r="L180">
        <v>14.525542158514201</v>
      </c>
      <c r="M180">
        <v>1485356</v>
      </c>
      <c r="O180">
        <v>15</v>
      </c>
      <c r="Q180">
        <v>12.144438128842804</v>
      </c>
      <c r="R180">
        <v>69.553274133428658</v>
      </c>
      <c r="S180">
        <v>9.2973769205385803</v>
      </c>
      <c r="U180">
        <v>38.105541229247997</v>
      </c>
      <c r="V180">
        <v>75.677000000000007</v>
      </c>
    </row>
    <row r="181" spans="1:23" x14ac:dyDescent="0.3">
      <c r="A181" t="s">
        <v>128</v>
      </c>
      <c r="B181" s="2" t="s">
        <v>7</v>
      </c>
      <c r="C181">
        <v>9.3106225264114357</v>
      </c>
      <c r="D181">
        <v>8.98</v>
      </c>
      <c r="F181">
        <v>10.141999999999999</v>
      </c>
      <c r="G181">
        <v>22.1</v>
      </c>
      <c r="H181">
        <v>20.800999999999998</v>
      </c>
      <c r="I181">
        <v>1.9381438079579301</v>
      </c>
      <c r="J181">
        <v>23.237433051292523</v>
      </c>
      <c r="K181">
        <v>2.5835700035095202</v>
      </c>
      <c r="L181">
        <v>13.724554930909804</v>
      </c>
      <c r="M181">
        <v>1519312</v>
      </c>
      <c r="N181">
        <v>43.4</v>
      </c>
      <c r="O181">
        <v>18.739999999999998</v>
      </c>
      <c r="P181">
        <v>3.0479331909089238</v>
      </c>
      <c r="Q181">
        <v>13.597826896301171</v>
      </c>
      <c r="R181">
        <v>71.503414773047794</v>
      </c>
      <c r="S181">
        <v>6.906533193766565</v>
      </c>
      <c r="U181">
        <v>40.491691589355497</v>
      </c>
      <c r="V181">
        <v>76.731999999999999</v>
      </c>
    </row>
    <row r="182" spans="1:23" x14ac:dyDescent="0.3">
      <c r="A182" t="s">
        <v>128</v>
      </c>
      <c r="B182" s="2" t="s">
        <v>8</v>
      </c>
      <c r="C182">
        <v>9.0691282678908181</v>
      </c>
      <c r="F182">
        <v>10.298999999999999</v>
      </c>
      <c r="H182">
        <v>20.611999999999998</v>
      </c>
      <c r="I182">
        <v>1.6630964786353399</v>
      </c>
      <c r="J182">
        <v>24.659537374231018</v>
      </c>
      <c r="K182">
        <v>2.0147900581359899</v>
      </c>
      <c r="L182">
        <v>13.399171911694452</v>
      </c>
      <c r="M182">
        <v>1572230</v>
      </c>
      <c r="O182">
        <v>22.53</v>
      </c>
      <c r="P182">
        <v>3.3891223141546147</v>
      </c>
      <c r="Q182">
        <v>14.880517718066688</v>
      </c>
      <c r="R182">
        <v>72.329815775094573</v>
      </c>
      <c r="S182">
        <v>2.2605863711326952</v>
      </c>
      <c r="U182">
        <v>41.774620056152301</v>
      </c>
      <c r="V182">
        <v>76.956000000000003</v>
      </c>
    </row>
    <row r="183" spans="1:23" x14ac:dyDescent="0.3">
      <c r="A183" t="s">
        <v>128</v>
      </c>
      <c r="B183" s="2" t="s">
        <v>9</v>
      </c>
      <c r="C183">
        <v>10.232155577776012</v>
      </c>
      <c r="D183">
        <v>6.3550000000000004</v>
      </c>
      <c r="F183">
        <v>10.345000000000001</v>
      </c>
      <c r="H183">
        <v>20.273</v>
      </c>
      <c r="I183">
        <v>1.3497971188176101</v>
      </c>
      <c r="J183">
        <v>21.350925147910164</v>
      </c>
      <c r="K183">
        <v>1.7657099962234499</v>
      </c>
      <c r="L183">
        <v>12.908914320417598</v>
      </c>
      <c r="M183">
        <v>1620024</v>
      </c>
      <c r="N183">
        <v>46.11</v>
      </c>
      <c r="O183">
        <v>30.14</v>
      </c>
      <c r="P183">
        <v>8.2365191823331525</v>
      </c>
      <c r="Q183">
        <v>13.569658914153534</v>
      </c>
      <c r="R183">
        <v>68.528483500690029</v>
      </c>
      <c r="S183">
        <v>-0.64941800749556811</v>
      </c>
      <c r="U183">
        <v>41.896389007568402</v>
      </c>
      <c r="V183">
        <v>77.262</v>
      </c>
      <c r="W183">
        <v>1.195096711655427</v>
      </c>
    </row>
    <row r="184" spans="1:23" x14ac:dyDescent="0.3">
      <c r="A184" t="s">
        <v>128</v>
      </c>
      <c r="B184" s="2" t="s">
        <v>10</v>
      </c>
      <c r="C184">
        <v>7.975135558449324</v>
      </c>
      <c r="F184">
        <v>10.670999999999999</v>
      </c>
      <c r="H184">
        <v>20.353000000000002</v>
      </c>
      <c r="I184">
        <v>0.97674835883689604</v>
      </c>
      <c r="J184">
        <v>17.984787595922231</v>
      </c>
      <c r="K184">
        <v>1.61330997943878</v>
      </c>
      <c r="L184">
        <v>12.219870779791119</v>
      </c>
      <c r="M184">
        <v>1660698</v>
      </c>
      <c r="O184">
        <v>43.68</v>
      </c>
      <c r="P184">
        <v>24.116723446867859</v>
      </c>
      <c r="Q184">
        <v>11.132793630568623</v>
      </c>
      <c r="R184">
        <v>78.858978282107003</v>
      </c>
      <c r="S184">
        <v>7.7134295215974129</v>
      </c>
      <c r="U184">
        <v>42.177703108324401</v>
      </c>
      <c r="V184">
        <v>77.528999999999996</v>
      </c>
      <c r="W184">
        <v>3.9834794185583311</v>
      </c>
    </row>
    <row r="185" spans="1:23" x14ac:dyDescent="0.3">
      <c r="A185" t="s">
        <v>128</v>
      </c>
      <c r="B185" s="2" t="s">
        <v>11</v>
      </c>
      <c r="C185">
        <v>0.86733987855276951</v>
      </c>
      <c r="F185">
        <v>11.21</v>
      </c>
      <c r="H185">
        <v>20.706</v>
      </c>
      <c r="I185">
        <v>1.0798237918868501</v>
      </c>
      <c r="J185">
        <v>17.225249541194859</v>
      </c>
      <c r="K185">
        <v>1.6525199413299601</v>
      </c>
      <c r="L185">
        <v>12.568744590532713</v>
      </c>
      <c r="M185">
        <v>1702075</v>
      </c>
      <c r="O185">
        <v>52</v>
      </c>
      <c r="P185">
        <v>2.9505649172125072</v>
      </c>
      <c r="Q185">
        <v>7.8569398945040589</v>
      </c>
      <c r="R185">
        <v>85.719054572536578</v>
      </c>
      <c r="S185">
        <v>4.4310356012452123</v>
      </c>
      <c r="U185">
        <v>45.535121832399597</v>
      </c>
      <c r="V185">
        <v>77.768000000000001</v>
      </c>
      <c r="W185">
        <v>4.9714857169238416</v>
      </c>
    </row>
    <row r="186" spans="1:23" x14ac:dyDescent="0.3">
      <c r="A186" t="s">
        <v>128</v>
      </c>
      <c r="B186" s="2" t="s">
        <v>12</v>
      </c>
      <c r="C186">
        <v>2.5647913368003827</v>
      </c>
      <c r="F186">
        <v>11.753</v>
      </c>
      <c r="H186">
        <v>21.033999999999999</v>
      </c>
      <c r="I186">
        <v>2.7048729669538201</v>
      </c>
      <c r="J186">
        <v>15.156125951893024</v>
      </c>
      <c r="K186">
        <v>2.14902997016907</v>
      </c>
      <c r="L186">
        <v>13.669623959632501</v>
      </c>
      <c r="M186">
        <v>1771730</v>
      </c>
      <c r="O186">
        <v>61.2498</v>
      </c>
      <c r="P186">
        <v>2.2911480639594557</v>
      </c>
      <c r="Q186">
        <v>7.0684716615672913</v>
      </c>
      <c r="R186">
        <v>85.980182853227689</v>
      </c>
      <c r="S186">
        <v>-0.22038692899434745</v>
      </c>
      <c r="U186">
        <v>44.932611762118398</v>
      </c>
      <c r="V186">
        <v>77.941000000000003</v>
      </c>
      <c r="W186">
        <v>6.5814744768367737</v>
      </c>
    </row>
    <row r="187" spans="1:23" x14ac:dyDescent="0.3">
      <c r="A187" t="s">
        <v>128</v>
      </c>
      <c r="B187" s="2" t="s">
        <v>13</v>
      </c>
      <c r="C187">
        <v>3.8278734986016048</v>
      </c>
      <c r="F187">
        <v>12.195</v>
      </c>
      <c r="H187">
        <v>21.215</v>
      </c>
      <c r="I187">
        <v>9.2549064931504201</v>
      </c>
      <c r="J187">
        <v>16.140300132854655</v>
      </c>
      <c r="K187">
        <v>2.43396997451782</v>
      </c>
      <c r="L187">
        <v>12.927336278922599</v>
      </c>
      <c r="M187">
        <v>1967961</v>
      </c>
      <c r="O187">
        <v>70.5</v>
      </c>
      <c r="P187">
        <v>2.6762507589104376</v>
      </c>
      <c r="Q187">
        <v>5.676367910337178</v>
      </c>
      <c r="R187">
        <v>88.529409876964465</v>
      </c>
      <c r="S187">
        <v>4.6499846607907935</v>
      </c>
      <c r="T187">
        <v>100.19276299219209</v>
      </c>
      <c r="U187">
        <v>48.308921326346102</v>
      </c>
      <c r="V187">
        <v>78.037000000000006</v>
      </c>
      <c r="W187">
        <v>4.8210195629739889</v>
      </c>
    </row>
    <row r="188" spans="1:23" x14ac:dyDescent="0.3">
      <c r="A188" t="s">
        <v>128</v>
      </c>
      <c r="B188" s="2" t="s">
        <v>14</v>
      </c>
      <c r="C188">
        <v>2.4840601050074298</v>
      </c>
      <c r="F188">
        <v>12.445</v>
      </c>
      <c r="H188">
        <v>21.161999999999999</v>
      </c>
      <c r="I188">
        <v>9.9923047265604108</v>
      </c>
      <c r="J188">
        <v>14.951164626871607</v>
      </c>
      <c r="L188">
        <v>12.745965409419449</v>
      </c>
      <c r="M188">
        <v>2201139</v>
      </c>
      <c r="O188">
        <v>73</v>
      </c>
      <c r="P188">
        <v>2.5213189675488357</v>
      </c>
      <c r="Q188">
        <v>5.9517552862572316</v>
      </c>
      <c r="R188">
        <v>94.327296263949904</v>
      </c>
      <c r="S188">
        <v>7.1613486741162866</v>
      </c>
      <c r="U188">
        <v>42.935340881347699</v>
      </c>
      <c r="V188">
        <v>78.147999999999996</v>
      </c>
      <c r="W188">
        <v>1.854604213409097</v>
      </c>
    </row>
    <row r="189" spans="1:23" x14ac:dyDescent="0.3">
      <c r="A189" t="s">
        <v>128</v>
      </c>
      <c r="B189" s="2" t="s">
        <v>15</v>
      </c>
      <c r="C189">
        <v>0.46232079259758052</v>
      </c>
      <c r="F189">
        <v>12.811999999999999</v>
      </c>
      <c r="H189">
        <v>21.25</v>
      </c>
      <c r="I189">
        <v>1.9576958362483801</v>
      </c>
      <c r="J189">
        <v>14.982808446307777</v>
      </c>
      <c r="L189">
        <v>12.531744427938913</v>
      </c>
      <c r="M189">
        <v>2259873</v>
      </c>
      <c r="O189">
        <v>74</v>
      </c>
      <c r="P189">
        <v>2.1887245348847708</v>
      </c>
      <c r="Q189">
        <v>4.3246917448759445</v>
      </c>
      <c r="R189">
        <v>96.225355806037498</v>
      </c>
      <c r="S189">
        <v>3.6338320789192546</v>
      </c>
      <c r="U189">
        <v>39.2905242294107</v>
      </c>
      <c r="V189">
        <v>78.275000000000006</v>
      </c>
      <c r="W189">
        <v>-3.7491452479962861</v>
      </c>
    </row>
    <row r="190" spans="1:23" x14ac:dyDescent="0.3">
      <c r="A190" t="s">
        <v>128</v>
      </c>
      <c r="B190" s="2" t="s">
        <v>16</v>
      </c>
      <c r="C190">
        <v>1.5545494085694287</v>
      </c>
      <c r="F190">
        <v>13.176</v>
      </c>
      <c r="H190">
        <v>21.332999999999998</v>
      </c>
      <c r="I190">
        <v>-2.3354374940083602</v>
      </c>
      <c r="J190">
        <v>14.870244060713958</v>
      </c>
      <c r="K190">
        <v>2.1782027084140498</v>
      </c>
      <c r="L190">
        <v>12.984149090863662</v>
      </c>
      <c r="M190">
        <v>2211422</v>
      </c>
      <c r="O190">
        <v>76.11</v>
      </c>
      <c r="P190">
        <v>2.8225450940051777</v>
      </c>
      <c r="Q190">
        <v>5.0217404056245414</v>
      </c>
      <c r="R190">
        <v>99.789881624071441</v>
      </c>
      <c r="S190">
        <v>7.4149321828035619</v>
      </c>
      <c r="U190">
        <v>42.507477145690899</v>
      </c>
      <c r="V190">
        <v>78.305999999999997</v>
      </c>
      <c r="W190">
        <v>-0.78335962436150774</v>
      </c>
    </row>
    <row r="191" spans="1:23" x14ac:dyDescent="0.3">
      <c r="A191" t="s">
        <v>128</v>
      </c>
      <c r="B191" s="2" t="s">
        <v>17</v>
      </c>
      <c r="C191">
        <v>0.9030284640738131</v>
      </c>
      <c r="F191">
        <v>13.52</v>
      </c>
      <c r="H191">
        <v>21.381</v>
      </c>
      <c r="I191">
        <v>-2.6105711647666499</v>
      </c>
      <c r="J191">
        <v>13.317296311956618</v>
      </c>
      <c r="K191">
        <v>2.2160684442323801</v>
      </c>
      <c r="L191">
        <v>13.208717980434749</v>
      </c>
      <c r="M191">
        <v>2158877</v>
      </c>
      <c r="O191">
        <v>78.180800000000005</v>
      </c>
      <c r="P191">
        <v>3.2913738207070766</v>
      </c>
      <c r="Q191">
        <v>4.7567791402020045</v>
      </c>
      <c r="R191">
        <v>102.16194686955602</v>
      </c>
      <c r="S191">
        <v>5.3964729908680429</v>
      </c>
      <c r="T191">
        <v>100.79000811814132</v>
      </c>
      <c r="U191">
        <v>44.1878772500135</v>
      </c>
      <c r="V191">
        <v>78.191999999999993</v>
      </c>
      <c r="W191">
        <v>4.3213521830319079</v>
      </c>
    </row>
    <row r="192" spans="1:23" x14ac:dyDescent="0.3">
      <c r="A192" t="s">
        <v>128</v>
      </c>
      <c r="B192" s="2" t="s">
        <v>18</v>
      </c>
      <c r="C192">
        <v>-1.8847057563165066</v>
      </c>
      <c r="F192">
        <v>13.898</v>
      </c>
      <c r="H192">
        <v>21.456</v>
      </c>
      <c r="I192">
        <v>-2.8988429712241199</v>
      </c>
      <c r="J192">
        <v>12.70996191183025</v>
      </c>
      <c r="K192">
        <v>2.6165251225734001</v>
      </c>
      <c r="L192">
        <v>15.336853001040303</v>
      </c>
      <c r="M192">
        <v>2102355</v>
      </c>
      <c r="O192">
        <v>80.900000000000006</v>
      </c>
      <c r="P192">
        <v>2.3549221155338405</v>
      </c>
      <c r="Q192">
        <v>4.8414030895636397</v>
      </c>
      <c r="S192">
        <v>3.3855465285834412</v>
      </c>
      <c r="T192">
        <v>100.73341863401828</v>
      </c>
      <c r="U192">
        <v>47.2296269060678</v>
      </c>
      <c r="V192">
        <v>78.263000000000005</v>
      </c>
      <c r="W192">
        <v>6.0769890788960694</v>
      </c>
    </row>
    <row r="193" spans="1:23" x14ac:dyDescent="0.3">
      <c r="A193" t="s">
        <v>128</v>
      </c>
      <c r="B193" s="2" t="s">
        <v>19</v>
      </c>
      <c r="C193">
        <v>-6.9149247285102575</v>
      </c>
      <c r="D193">
        <v>11.301</v>
      </c>
      <c r="F193">
        <v>14.323</v>
      </c>
      <c r="G193">
        <v>23.315999999999999</v>
      </c>
      <c r="H193">
        <v>21.57</v>
      </c>
      <c r="I193">
        <v>-3.2183712897604502</v>
      </c>
      <c r="J193">
        <v>14.283095978272684</v>
      </c>
      <c r="K193">
        <v>2.51957250612723</v>
      </c>
      <c r="L193">
        <v>15.629783477577291</v>
      </c>
      <c r="M193">
        <v>2042509</v>
      </c>
      <c r="N193">
        <v>48.893999999999998</v>
      </c>
      <c r="O193">
        <v>81.481200000000001</v>
      </c>
      <c r="P193">
        <v>3.8912735282282793</v>
      </c>
      <c r="Q193">
        <v>3.6941324500034187</v>
      </c>
      <c r="S193">
        <v>6.1660224620399182</v>
      </c>
      <c r="T193">
        <v>100.20602776799544</v>
      </c>
      <c r="U193">
        <v>50.148393710421502</v>
      </c>
      <c r="V193">
        <v>78.207999999999998</v>
      </c>
      <c r="W193">
        <v>3.0053894939038268</v>
      </c>
    </row>
    <row r="194" spans="1:23" x14ac:dyDescent="0.3">
      <c r="A194" t="s">
        <v>128</v>
      </c>
      <c r="B194" s="2" t="s">
        <v>20</v>
      </c>
      <c r="C194">
        <v>-21.399899691432125</v>
      </c>
      <c r="F194">
        <v>16.248999999999999</v>
      </c>
      <c r="H194">
        <v>24.76</v>
      </c>
      <c r="I194">
        <v>-1.6038625815757399</v>
      </c>
      <c r="J194">
        <v>20.791435364131818</v>
      </c>
      <c r="K194">
        <v>2.4354185601395999</v>
      </c>
      <c r="L194">
        <v>9.1397548867130869</v>
      </c>
      <c r="M194">
        <v>1949531</v>
      </c>
      <c r="O194">
        <v>82.066500000000005</v>
      </c>
      <c r="P194">
        <v>5.1365125923276533</v>
      </c>
      <c r="Q194">
        <v>5.0671298661340298</v>
      </c>
      <c r="T194">
        <v>97.532797135510137</v>
      </c>
      <c r="U194">
        <v>51.567733764394198</v>
      </c>
      <c r="V194">
        <v>76.299000000000007</v>
      </c>
      <c r="W194">
        <v>84.864333047204056</v>
      </c>
    </row>
    <row r="195" spans="1:23" x14ac:dyDescent="0.3">
      <c r="A195" t="s">
        <v>128</v>
      </c>
      <c r="B195" s="2" t="s">
        <v>21</v>
      </c>
      <c r="C195">
        <v>-7.0012386251411556</v>
      </c>
      <c r="F195">
        <v>15.874000000000001</v>
      </c>
      <c r="H195">
        <v>23.53</v>
      </c>
      <c r="I195">
        <v>0.275364167930295</v>
      </c>
      <c r="J195">
        <v>27.466486798485612</v>
      </c>
      <c r="L195">
        <v>2.36013682064937</v>
      </c>
      <c r="M195">
        <v>1884419</v>
      </c>
      <c r="O195">
        <v>82.656000000000006</v>
      </c>
      <c r="P195">
        <v>2.154253144780375</v>
      </c>
      <c r="Q195">
        <v>2.5929006838646997</v>
      </c>
      <c r="T195">
        <v>97.961751167903273</v>
      </c>
      <c r="U195">
        <v>56.865786141816798</v>
      </c>
      <c r="V195">
        <v>73.650000000000006</v>
      </c>
      <c r="W195">
        <v>154.7560960233933</v>
      </c>
    </row>
    <row r="196" spans="1:23" x14ac:dyDescent="0.3">
      <c r="A196" t="s">
        <v>128</v>
      </c>
      <c r="B196" s="2" t="s">
        <v>22</v>
      </c>
      <c r="C196">
        <v>-0.62167897066311184</v>
      </c>
      <c r="F196">
        <v>14.593</v>
      </c>
      <c r="H196">
        <v>21.419</v>
      </c>
      <c r="I196">
        <v>0.46005306303286397</v>
      </c>
      <c r="J196">
        <v>30.655516378297488</v>
      </c>
      <c r="K196">
        <v>1.3315142762871099</v>
      </c>
      <c r="L196">
        <v>3.6253250845280691</v>
      </c>
      <c r="M196">
        <v>1815347</v>
      </c>
      <c r="O196">
        <v>82.798000000000002</v>
      </c>
      <c r="P196">
        <v>15.133219943969994</v>
      </c>
      <c r="Q196">
        <v>2.5096616064173483</v>
      </c>
      <c r="T196">
        <v>96.923460215067976</v>
      </c>
      <c r="U196">
        <v>58.1761149059991</v>
      </c>
      <c r="V196">
        <v>78.003</v>
      </c>
      <c r="W196">
        <v>171.2054913366413</v>
      </c>
    </row>
    <row r="197" spans="1:23" x14ac:dyDescent="0.3">
      <c r="A197" t="s">
        <v>128</v>
      </c>
      <c r="B197" s="2" t="s">
        <v>23</v>
      </c>
      <c r="C197">
        <v>-0.76058447025731368</v>
      </c>
      <c r="F197">
        <v>14.48</v>
      </c>
      <c r="H197">
        <v>21.311</v>
      </c>
      <c r="I197">
        <v>0.50363095385567203</v>
      </c>
      <c r="J197">
        <v>33.349773045665962</v>
      </c>
      <c r="K197">
        <v>1.5041636110808601</v>
      </c>
      <c r="L197">
        <v>5.1690144124384485</v>
      </c>
      <c r="M197">
        <v>1837294</v>
      </c>
      <c r="O197">
        <v>83.493300000000005</v>
      </c>
      <c r="P197">
        <v>4.3023607836033637</v>
      </c>
      <c r="Q197">
        <v>3.2643546738912712</v>
      </c>
      <c r="U197">
        <v>54.401256154707099</v>
      </c>
      <c r="V197">
        <v>77.816999999999993</v>
      </c>
      <c r="W197">
        <v>221.34164402336501</v>
      </c>
    </row>
    <row r="198" spans="1:23" x14ac:dyDescent="0.3">
      <c r="A198" t="s">
        <v>128</v>
      </c>
      <c r="B198" s="2" t="s">
        <v>104</v>
      </c>
      <c r="I198">
        <v>0.56080506546156705</v>
      </c>
      <c r="K198">
        <v>1.2249086999308501</v>
      </c>
      <c r="P198">
        <v>2.8959127688150619</v>
      </c>
      <c r="W198">
        <v>45.24304227167184</v>
      </c>
    </row>
    <row r="199" spans="1:23" x14ac:dyDescent="0.3">
      <c r="A199" t="s">
        <v>128</v>
      </c>
      <c r="B199" s="2" t="s">
        <v>105</v>
      </c>
    </row>
    <row r="200" spans="1:23" x14ac:dyDescent="0.3">
      <c r="A200" t="s">
        <v>129</v>
      </c>
      <c r="B200" s="7">
        <v>1960</v>
      </c>
      <c r="L200">
        <v>11.834317179049314</v>
      </c>
      <c r="N200">
        <v>47.2</v>
      </c>
      <c r="R200">
        <v>10.835191288948536</v>
      </c>
      <c r="V200">
        <v>41.73</v>
      </c>
      <c r="W200">
        <v>3.42429906542058</v>
      </c>
    </row>
    <row r="201" spans="1:23" x14ac:dyDescent="0.3">
      <c r="A201" t="s">
        <v>129</v>
      </c>
      <c r="B201" s="2" t="s">
        <v>60</v>
      </c>
      <c r="I201">
        <v>2.5994991150381601</v>
      </c>
      <c r="L201">
        <v>12.779238681050289</v>
      </c>
      <c r="R201">
        <v>13.393812755024461</v>
      </c>
      <c r="V201">
        <v>43.694000000000003</v>
      </c>
      <c r="W201">
        <v>1.7631246049345219</v>
      </c>
    </row>
    <row r="202" spans="1:23" x14ac:dyDescent="0.3">
      <c r="A202" t="s">
        <v>129</v>
      </c>
      <c r="B202" s="2" t="s">
        <v>61</v>
      </c>
      <c r="I202">
        <v>2.6631134138087398</v>
      </c>
      <c r="L202">
        <v>12.124232736355726</v>
      </c>
      <c r="R202">
        <v>13.286831306063213</v>
      </c>
      <c r="V202">
        <v>44.225999999999999</v>
      </c>
      <c r="W202">
        <v>5.0967290813814818</v>
      </c>
    </row>
    <row r="203" spans="1:23" x14ac:dyDescent="0.3">
      <c r="A203" t="s">
        <v>129</v>
      </c>
      <c r="B203" s="2" t="s">
        <v>62</v>
      </c>
      <c r="I203">
        <v>2.6131349093016301</v>
      </c>
      <c r="L203">
        <v>12.716590966635005</v>
      </c>
      <c r="R203">
        <v>12.374507233029618</v>
      </c>
      <c r="V203">
        <v>44.768000000000001</v>
      </c>
      <c r="W203">
        <v>5.6997116874522176</v>
      </c>
    </row>
    <row r="204" spans="1:23" x14ac:dyDescent="0.3">
      <c r="A204" t="s">
        <v>129</v>
      </c>
      <c r="B204" s="2" t="s">
        <v>63</v>
      </c>
      <c r="I204">
        <v>2.5231288652097699</v>
      </c>
      <c r="L204">
        <v>13.064050625131063</v>
      </c>
      <c r="R204">
        <v>11.482241252142222</v>
      </c>
      <c r="V204">
        <v>45.345999999999997</v>
      </c>
      <c r="W204">
        <v>4.0215414742121274</v>
      </c>
    </row>
    <row r="205" spans="1:23" x14ac:dyDescent="0.3">
      <c r="A205" t="s">
        <v>129</v>
      </c>
      <c r="B205" s="2" t="s">
        <v>64</v>
      </c>
      <c r="I205">
        <v>2.6038984205982501</v>
      </c>
      <c r="L205">
        <v>11.997319034852547</v>
      </c>
      <c r="R205">
        <v>11.045576407506703</v>
      </c>
      <c r="V205">
        <v>45.921999999999997</v>
      </c>
      <c r="W205">
        <v>3.4828212200169042</v>
      </c>
    </row>
    <row r="206" spans="1:23" x14ac:dyDescent="0.3">
      <c r="A206" t="s">
        <v>129</v>
      </c>
      <c r="B206" s="2" t="s">
        <v>65</v>
      </c>
      <c r="I206">
        <v>2.6674025372885302</v>
      </c>
      <c r="L206">
        <v>12.709535586699644</v>
      </c>
      <c r="R206">
        <v>11.548502335806541</v>
      </c>
      <c r="V206">
        <v>46.494999999999997</v>
      </c>
      <c r="W206">
        <v>-1.0135793646963971</v>
      </c>
    </row>
    <row r="207" spans="1:23" x14ac:dyDescent="0.3">
      <c r="A207" t="s">
        <v>129</v>
      </c>
      <c r="B207" s="2" t="s">
        <v>66</v>
      </c>
      <c r="C207">
        <v>10.028841359366098</v>
      </c>
      <c r="I207">
        <v>2.69275670272462</v>
      </c>
      <c r="L207">
        <v>12.454592631032693</v>
      </c>
      <c r="R207">
        <v>11.559418785677218</v>
      </c>
      <c r="V207">
        <v>47.098999999999997</v>
      </c>
      <c r="W207">
        <v>-0.7482769938977154</v>
      </c>
    </row>
    <row r="208" spans="1:23" x14ac:dyDescent="0.3">
      <c r="A208" t="s">
        <v>129</v>
      </c>
      <c r="B208" s="2" t="s">
        <v>67</v>
      </c>
      <c r="C208">
        <v>9.8917393067404333</v>
      </c>
      <c r="I208">
        <v>2.6821992680997702</v>
      </c>
      <c r="L208">
        <v>12.805798852310479</v>
      </c>
      <c r="R208">
        <v>13.218000604047115</v>
      </c>
      <c r="V208">
        <v>47.658999999999999</v>
      </c>
      <c r="W208">
        <v>0.4364790690445246</v>
      </c>
    </row>
    <row r="209" spans="1:23" x14ac:dyDescent="0.3">
      <c r="A209" t="s">
        <v>129</v>
      </c>
      <c r="B209" s="2" t="s">
        <v>68</v>
      </c>
      <c r="C209">
        <v>8.3621653567201832</v>
      </c>
      <c r="I209">
        <v>2.6571534683402902</v>
      </c>
      <c r="L209">
        <v>11.948698522647328</v>
      </c>
      <c r="R209">
        <v>11.329238595162078</v>
      </c>
      <c r="V209">
        <v>48.186999999999998</v>
      </c>
      <c r="W209">
        <v>2.949891354392415</v>
      </c>
    </row>
    <row r="210" spans="1:23" x14ac:dyDescent="0.3">
      <c r="A210" t="s">
        <v>129</v>
      </c>
      <c r="B210" s="2" t="s">
        <v>69</v>
      </c>
      <c r="C210">
        <v>4.7134603751551651</v>
      </c>
      <c r="I210">
        <v>2.6468054403922201</v>
      </c>
      <c r="L210">
        <v>12.022376504670095</v>
      </c>
      <c r="Q210">
        <v>0.5055182058838219</v>
      </c>
      <c r="R210">
        <v>10.582788072523851</v>
      </c>
      <c r="V210">
        <v>48.691000000000003</v>
      </c>
      <c r="W210">
        <v>1.2791813237647629</v>
      </c>
    </row>
    <row r="211" spans="1:23" x14ac:dyDescent="0.3">
      <c r="A211" t="s">
        <v>129</v>
      </c>
      <c r="B211" s="2" t="s">
        <v>70</v>
      </c>
      <c r="C211">
        <v>5.5968936595313039</v>
      </c>
      <c r="I211">
        <v>2.5951825356912201</v>
      </c>
      <c r="L211">
        <v>12.313076678332804</v>
      </c>
      <c r="N211">
        <v>45.57</v>
      </c>
      <c r="Q211">
        <v>0.5302215940184537</v>
      </c>
      <c r="R211">
        <v>11.096359256397436</v>
      </c>
      <c r="U211">
        <v>1.2850199937820399</v>
      </c>
      <c r="V211">
        <v>49.168999999999997</v>
      </c>
      <c r="W211">
        <v>4.1553520683533014</v>
      </c>
    </row>
    <row r="212" spans="1:23" x14ac:dyDescent="0.3">
      <c r="A212" t="s">
        <v>129</v>
      </c>
      <c r="B212" s="2" t="s">
        <v>71</v>
      </c>
      <c r="C212">
        <v>2.4372373466546691</v>
      </c>
      <c r="I212">
        <v>2.5275925830970398</v>
      </c>
      <c r="L212">
        <v>12.383808095952025</v>
      </c>
      <c r="Q212">
        <v>0.25620218462197469</v>
      </c>
      <c r="R212">
        <v>11.985435853501821</v>
      </c>
      <c r="U212">
        <v>1.2780400514602701</v>
      </c>
      <c r="V212">
        <v>49.706000000000003</v>
      </c>
      <c r="W212">
        <v>3.7591705572226348</v>
      </c>
    </row>
    <row r="213" spans="1:23" x14ac:dyDescent="0.3">
      <c r="A213" t="s">
        <v>129</v>
      </c>
      <c r="B213" s="2" t="s">
        <v>72</v>
      </c>
      <c r="C213">
        <v>3.559310832415477</v>
      </c>
      <c r="I213">
        <v>2.4904545067065702</v>
      </c>
      <c r="K213">
        <v>4.6716899871826199</v>
      </c>
      <c r="L213">
        <v>11.667186768606646</v>
      </c>
      <c r="Q213">
        <v>8.7950523833671398E-2</v>
      </c>
      <c r="R213">
        <v>13.284482758620689</v>
      </c>
      <c r="U213">
        <v>1.6041500568389899</v>
      </c>
      <c r="V213">
        <v>50.22</v>
      </c>
      <c r="W213">
        <v>4.0846140361297252</v>
      </c>
    </row>
    <row r="214" spans="1:23" x14ac:dyDescent="0.3">
      <c r="A214" t="s">
        <v>129</v>
      </c>
      <c r="B214" s="2" t="s">
        <v>73</v>
      </c>
      <c r="C214">
        <v>5.59604994440339</v>
      </c>
      <c r="I214">
        <v>2.4657730295007201</v>
      </c>
      <c r="K214">
        <v>4.2754898071289098</v>
      </c>
      <c r="L214">
        <v>12.033392963625522</v>
      </c>
      <c r="Q214">
        <v>-0.26578189136262165</v>
      </c>
      <c r="R214">
        <v>13.526684555754324</v>
      </c>
      <c r="U214">
        <v>1.77578997611999</v>
      </c>
      <c r="V214">
        <v>50.762</v>
      </c>
      <c r="W214">
        <v>17.55682274524543</v>
      </c>
    </row>
    <row r="215" spans="1:23" x14ac:dyDescent="0.3">
      <c r="A215" t="s">
        <v>129</v>
      </c>
      <c r="B215" s="2" t="s">
        <v>74</v>
      </c>
      <c r="C215">
        <v>7.5582215611380548</v>
      </c>
      <c r="I215">
        <v>2.4610867491609199</v>
      </c>
      <c r="J215">
        <v>5.9322726938170929</v>
      </c>
      <c r="K215">
        <v>5.2127099037170401</v>
      </c>
      <c r="L215">
        <v>16.091291093350911</v>
      </c>
      <c r="Q215">
        <v>5.587180888948752E-2</v>
      </c>
      <c r="R215">
        <v>15.567328554557688</v>
      </c>
      <c r="U215">
        <v>2.2859899997711199</v>
      </c>
      <c r="V215">
        <v>51.356000000000002</v>
      </c>
      <c r="W215">
        <v>7.9182892670274088</v>
      </c>
    </row>
    <row r="216" spans="1:23" x14ac:dyDescent="0.3">
      <c r="A216" t="s">
        <v>129</v>
      </c>
      <c r="B216" s="2" t="s">
        <v>75</v>
      </c>
      <c r="C216">
        <v>10.812781344285511</v>
      </c>
      <c r="I216">
        <v>2.4386889762525499</v>
      </c>
      <c r="J216">
        <v>5.7087536485041568</v>
      </c>
      <c r="K216">
        <v>6.0271201133728001</v>
      </c>
      <c r="L216">
        <v>21.671073755784303</v>
      </c>
      <c r="Q216">
        <v>0.39663797580161914</v>
      </c>
      <c r="R216">
        <v>16.217749551421289</v>
      </c>
      <c r="U216">
        <v>2.92934989929199</v>
      </c>
      <c r="V216">
        <v>52.048000000000002</v>
      </c>
      <c r="W216">
        <v>8.5021524434930331</v>
      </c>
    </row>
    <row r="217" spans="1:23" x14ac:dyDescent="0.3">
      <c r="A217" t="s">
        <v>129</v>
      </c>
      <c r="B217" s="2" t="s">
        <v>76</v>
      </c>
      <c r="C217">
        <v>6.0591676788529014</v>
      </c>
      <c r="I217">
        <v>2.47603066116063</v>
      </c>
      <c r="J217">
        <v>5.3355038645040151</v>
      </c>
      <c r="K217">
        <v>6.08424997329712</v>
      </c>
      <c r="L217">
        <v>20.755209903337956</v>
      </c>
      <c r="Q217">
        <v>7.2345815679622144E-2</v>
      </c>
      <c r="R217">
        <v>16.309820944112861</v>
      </c>
      <c r="U217">
        <v>2.8133299350738499</v>
      </c>
      <c r="V217">
        <v>52.790999999999997</v>
      </c>
      <c r="W217">
        <v>12.597000992006929</v>
      </c>
    </row>
    <row r="218" spans="1:23" x14ac:dyDescent="0.3">
      <c r="A218" t="s">
        <v>129</v>
      </c>
      <c r="B218" s="2" t="s">
        <v>77</v>
      </c>
      <c r="C218">
        <v>2.2326633886187182</v>
      </c>
      <c r="I218">
        <v>2.5356352032184599</v>
      </c>
      <c r="J218">
        <v>5.7656743884335038</v>
      </c>
      <c r="K218">
        <v>6.2018299102783203</v>
      </c>
      <c r="L218">
        <v>20.794502665264535</v>
      </c>
      <c r="Q218">
        <v>8.8842154642923846E-2</v>
      </c>
      <c r="R218">
        <v>15.928835623889473</v>
      </c>
      <c r="U218">
        <v>4.0460700988769496</v>
      </c>
      <c r="V218">
        <v>53.554000000000002</v>
      </c>
      <c r="W218">
        <v>9.7160327495434036</v>
      </c>
    </row>
    <row r="219" spans="1:23" x14ac:dyDescent="0.3">
      <c r="A219" t="s">
        <v>129</v>
      </c>
      <c r="B219" s="2" t="s">
        <v>78</v>
      </c>
      <c r="C219">
        <v>4.7937872049339774</v>
      </c>
      <c r="I219">
        <v>2.5551270209029702</v>
      </c>
      <c r="J219">
        <v>5.9603822229015258</v>
      </c>
      <c r="K219">
        <v>6.3154802322387704</v>
      </c>
      <c r="L219">
        <v>21.325532292119981</v>
      </c>
      <c r="Q219">
        <v>4.6741773879158163E-2</v>
      </c>
      <c r="R219">
        <v>15.719323694856794</v>
      </c>
      <c r="U219">
        <v>3.59034991264343</v>
      </c>
      <c r="V219">
        <v>54.375999999999998</v>
      </c>
      <c r="W219">
        <v>8.3313654181546184</v>
      </c>
    </row>
    <row r="220" spans="1:23" x14ac:dyDescent="0.3">
      <c r="A220" t="s">
        <v>129</v>
      </c>
      <c r="B220" s="2" t="s">
        <v>79</v>
      </c>
      <c r="C220">
        <v>3.6421648133407416</v>
      </c>
      <c r="I220">
        <v>2.6259325587384499</v>
      </c>
      <c r="J220">
        <v>4.8505054996591843</v>
      </c>
      <c r="K220">
        <v>5.1048598289489702</v>
      </c>
      <c r="L220">
        <v>17.824771874669832</v>
      </c>
      <c r="Q220">
        <v>0.41151554924193601</v>
      </c>
      <c r="R220">
        <v>12.904285338266739</v>
      </c>
      <c r="V220">
        <v>55.219000000000001</v>
      </c>
      <c r="W220">
        <v>9.4083794743795597</v>
      </c>
    </row>
    <row r="221" spans="1:23" x14ac:dyDescent="0.3">
      <c r="A221" t="s">
        <v>129</v>
      </c>
      <c r="B221" s="2" t="s">
        <v>80</v>
      </c>
      <c r="C221">
        <v>-1.7434349305055008</v>
      </c>
      <c r="I221">
        <v>2.6643909342507102</v>
      </c>
      <c r="J221">
        <v>5.6996431659660756</v>
      </c>
      <c r="K221">
        <v>5.6892600059509304</v>
      </c>
      <c r="L221">
        <v>18.225130568617896</v>
      </c>
      <c r="Q221">
        <v>0.32932721586797836</v>
      </c>
      <c r="R221">
        <v>14.201436860900207</v>
      </c>
      <c r="U221">
        <v>5.9950399398803702</v>
      </c>
      <c r="V221">
        <v>56.023000000000003</v>
      </c>
      <c r="W221">
        <v>12.492528392100059</v>
      </c>
    </row>
    <row r="222" spans="1:23" x14ac:dyDescent="0.3">
      <c r="A222" t="s">
        <v>129</v>
      </c>
      <c r="B222" s="2" t="s">
        <v>81</v>
      </c>
      <c r="C222">
        <v>8.9573720225429696</v>
      </c>
      <c r="D222">
        <v>11.503</v>
      </c>
      <c r="G222">
        <v>20.471</v>
      </c>
      <c r="I222">
        <v>2.6413460247740699</v>
      </c>
      <c r="J222">
        <v>4.8019451541763871</v>
      </c>
      <c r="K222">
        <v>6.12268018722534</v>
      </c>
      <c r="L222">
        <v>17.93838742386847</v>
      </c>
      <c r="N222">
        <v>47.988999999999997</v>
      </c>
      <c r="Q222">
        <v>0.44950787452974789</v>
      </c>
      <c r="R222">
        <v>15.262473394105303</v>
      </c>
      <c r="U222">
        <v>6.4393501281738299</v>
      </c>
      <c r="V222">
        <v>56.869</v>
      </c>
      <c r="W222">
        <v>10.52780729729832</v>
      </c>
    </row>
    <row r="223" spans="1:23" x14ac:dyDescent="0.3">
      <c r="A223" t="s">
        <v>129</v>
      </c>
      <c r="B223" s="2" t="s">
        <v>82</v>
      </c>
      <c r="C223">
        <v>1.3865695773584577</v>
      </c>
      <c r="I223">
        <v>2.5993037334276701</v>
      </c>
      <c r="J223">
        <v>5.642515861405041</v>
      </c>
      <c r="K223">
        <v>6.1746702194213903</v>
      </c>
      <c r="L223">
        <v>16.474762226141511</v>
      </c>
      <c r="Q223">
        <v>0.2838130895644676</v>
      </c>
      <c r="R223">
        <v>16.141264524641727</v>
      </c>
      <c r="U223">
        <v>5.6216697692871103</v>
      </c>
      <c r="V223">
        <v>57.685000000000002</v>
      </c>
      <c r="W223">
        <v>6.2079353887031337</v>
      </c>
    </row>
    <row r="224" spans="1:23" x14ac:dyDescent="0.3">
      <c r="A224" t="s">
        <v>129</v>
      </c>
      <c r="B224" s="2" t="s">
        <v>83</v>
      </c>
      <c r="C224">
        <v>6.4183863212911518</v>
      </c>
      <c r="I224">
        <v>2.4996663045802898</v>
      </c>
      <c r="J224">
        <v>5.8937352748099787</v>
      </c>
      <c r="K224">
        <v>5.1901302337646502</v>
      </c>
      <c r="L224">
        <v>15.851528630313979</v>
      </c>
      <c r="Q224">
        <v>0.31696626662832905</v>
      </c>
      <c r="R224">
        <v>16.37237922715919</v>
      </c>
      <c r="U224">
        <v>6.3379201889038104</v>
      </c>
      <c r="V224">
        <v>58.438000000000002</v>
      </c>
      <c r="W224">
        <v>12.447569329185329</v>
      </c>
    </row>
    <row r="225" spans="1:23" x14ac:dyDescent="0.3">
      <c r="A225" t="s">
        <v>129</v>
      </c>
      <c r="B225" s="2" t="s">
        <v>84</v>
      </c>
      <c r="C225">
        <v>6.007652071440333</v>
      </c>
      <c r="I225">
        <v>2.38035491289014</v>
      </c>
      <c r="J225">
        <v>6.4872517169100821</v>
      </c>
      <c r="K225">
        <v>5.1021699905395499</v>
      </c>
      <c r="L225">
        <v>17.192998232640846</v>
      </c>
      <c r="Q225">
        <v>0.13324521038220594</v>
      </c>
      <c r="R225">
        <v>15.19316770407432</v>
      </c>
      <c r="V225">
        <v>59.207999999999998</v>
      </c>
      <c r="W225">
        <v>7.7286389008592016</v>
      </c>
    </row>
    <row r="226" spans="1:23" x14ac:dyDescent="0.3">
      <c r="A226" t="s">
        <v>129</v>
      </c>
      <c r="B226" s="2" t="s">
        <v>85</v>
      </c>
      <c r="C226">
        <v>9.2711057694862689</v>
      </c>
      <c r="I226">
        <v>2.1776669852986599</v>
      </c>
      <c r="J226">
        <v>7.1916572409842301</v>
      </c>
      <c r="K226">
        <v>5.2592802047729501</v>
      </c>
      <c r="L226">
        <v>17.744086256000564</v>
      </c>
      <c r="Q226">
        <v>2.8218070204728287E-3</v>
      </c>
      <c r="U226">
        <v>8.1667404174804705</v>
      </c>
      <c r="V226">
        <v>59.951000000000001</v>
      </c>
      <c r="W226">
        <v>8.7335591870667457</v>
      </c>
    </row>
    <row r="227" spans="1:23" x14ac:dyDescent="0.3">
      <c r="A227" t="s">
        <v>129</v>
      </c>
      <c r="B227" s="2" t="s">
        <v>86</v>
      </c>
      <c r="C227">
        <v>-0.32500407565046885</v>
      </c>
      <c r="D227">
        <v>14.7</v>
      </c>
      <c r="I227">
        <v>1.9870856970647</v>
      </c>
      <c r="J227">
        <v>7.3002022301214717</v>
      </c>
      <c r="K227">
        <v>5.1621398925781197</v>
      </c>
      <c r="L227">
        <v>18.434494142533509</v>
      </c>
      <c r="Q227">
        <v>0.27371635396750688</v>
      </c>
      <c r="U227">
        <v>8.5508604049682599</v>
      </c>
      <c r="V227">
        <v>60.62</v>
      </c>
      <c r="W227">
        <v>2.6987399771376732</v>
      </c>
    </row>
    <row r="228" spans="1:23" x14ac:dyDescent="0.3">
      <c r="A228" t="s">
        <v>129</v>
      </c>
      <c r="B228" s="2" t="s">
        <v>87</v>
      </c>
      <c r="C228">
        <v>11.875235978859706</v>
      </c>
      <c r="D228">
        <v>13.9</v>
      </c>
      <c r="I228">
        <v>1.9166425182731299</v>
      </c>
      <c r="J228">
        <v>5.0753810214303288</v>
      </c>
      <c r="K228">
        <v>4.57781982421875</v>
      </c>
      <c r="L228">
        <v>17.549756237599631</v>
      </c>
      <c r="Q228">
        <v>0.32935480287692948</v>
      </c>
      <c r="U228">
        <v>9.2978696823120099</v>
      </c>
      <c r="V228">
        <v>61.231000000000002</v>
      </c>
      <c r="W228">
        <v>2.3690550548764109</v>
      </c>
    </row>
    <row r="229" spans="1:23" x14ac:dyDescent="0.3">
      <c r="A229" t="s">
        <v>129</v>
      </c>
      <c r="B229" s="2" t="s">
        <v>88</v>
      </c>
      <c r="C229">
        <v>2.8462025813284129</v>
      </c>
      <c r="D229">
        <v>16.3</v>
      </c>
      <c r="I229">
        <v>1.8503503195059601</v>
      </c>
      <c r="J229">
        <v>5.0792358907085555</v>
      </c>
      <c r="K229">
        <v>4.7573299407959002</v>
      </c>
      <c r="L229">
        <v>17.341483216190927</v>
      </c>
      <c r="Q229">
        <v>0.63484853618419901</v>
      </c>
      <c r="U229">
        <v>9.9311199188232404</v>
      </c>
      <c r="V229">
        <v>61.823999999999998</v>
      </c>
      <c r="W229">
        <v>3.2599694922639042</v>
      </c>
    </row>
    <row r="230" spans="1:23" x14ac:dyDescent="0.3">
      <c r="A230" t="s">
        <v>129</v>
      </c>
      <c r="B230" s="2" t="s">
        <v>89</v>
      </c>
      <c r="C230">
        <v>3.4118122263011514</v>
      </c>
      <c r="D230">
        <v>15.8</v>
      </c>
      <c r="G230">
        <v>31.13</v>
      </c>
      <c r="I230">
        <v>1.80543997877046</v>
      </c>
      <c r="J230">
        <v>6.6479466419302149</v>
      </c>
      <c r="K230">
        <v>4.5104899406433097</v>
      </c>
      <c r="L230">
        <v>15.697549348497875</v>
      </c>
      <c r="M230">
        <v>7469841</v>
      </c>
      <c r="N230">
        <v>49.59</v>
      </c>
      <c r="O230">
        <v>0</v>
      </c>
      <c r="Q230">
        <v>0.54712798288013054</v>
      </c>
      <c r="R230">
        <v>13.706339325413367</v>
      </c>
      <c r="T230">
        <v>85.346592387538919</v>
      </c>
      <c r="U230">
        <v>10.6727600097656</v>
      </c>
      <c r="V230">
        <v>62.396000000000001</v>
      </c>
      <c r="W230">
        <v>6.7825940151100603</v>
      </c>
    </row>
    <row r="231" spans="1:23" x14ac:dyDescent="0.3">
      <c r="A231" t="s">
        <v>129</v>
      </c>
      <c r="B231" s="2" t="s">
        <v>90</v>
      </c>
      <c r="C231">
        <v>7.2160881535908459</v>
      </c>
      <c r="D231">
        <v>16.98</v>
      </c>
      <c r="F231">
        <v>12.96</v>
      </c>
      <c r="H231">
        <v>16.068000000000001</v>
      </c>
      <c r="I231">
        <v>1.7223272559423599</v>
      </c>
      <c r="J231">
        <v>6.1647985638014893</v>
      </c>
      <c r="K231">
        <v>4.3031601905822798</v>
      </c>
      <c r="L231">
        <v>15.573819597605418</v>
      </c>
      <c r="M231">
        <v>7669496</v>
      </c>
      <c r="Q231">
        <v>0.98329410145212659</v>
      </c>
      <c r="R231">
        <v>17.253894327217164</v>
      </c>
      <c r="T231">
        <v>81.28936024223988</v>
      </c>
      <c r="U231">
        <v>10.548259735107401</v>
      </c>
      <c r="V231">
        <v>62.918999999999997</v>
      </c>
      <c r="W231">
        <v>7.9861660079051191</v>
      </c>
    </row>
    <row r="232" spans="1:23" x14ac:dyDescent="0.3">
      <c r="A232" t="s">
        <v>129</v>
      </c>
      <c r="B232" s="2" t="s">
        <v>91</v>
      </c>
      <c r="C232">
        <v>-2.0977387540220036</v>
      </c>
      <c r="D232">
        <v>15.68</v>
      </c>
      <c r="F232">
        <v>13.164</v>
      </c>
      <c r="H232">
        <v>16.263000000000002</v>
      </c>
      <c r="I232">
        <v>1.6534739751776699</v>
      </c>
      <c r="J232">
        <v>6.4383786265121108</v>
      </c>
      <c r="L232">
        <v>16.464833686081569</v>
      </c>
      <c r="M232">
        <v>7883614</v>
      </c>
      <c r="Q232">
        <v>1.2532099088860333</v>
      </c>
      <c r="R232">
        <v>19.658118029637876</v>
      </c>
      <c r="T232">
        <v>88.061273633129943</v>
      </c>
      <c r="U232">
        <v>10.2783403396606</v>
      </c>
      <c r="V232">
        <v>63.387999999999998</v>
      </c>
      <c r="W232">
        <v>5.7402466286873999</v>
      </c>
    </row>
    <row r="233" spans="1:23" x14ac:dyDescent="0.3">
      <c r="A233" t="s">
        <v>129</v>
      </c>
      <c r="B233" s="2" t="s">
        <v>92</v>
      </c>
      <c r="C233">
        <v>-0.74059170033237365</v>
      </c>
      <c r="D233">
        <v>15.69</v>
      </c>
      <c r="F233">
        <v>13.340999999999999</v>
      </c>
      <c r="H233">
        <v>16.443999999999999</v>
      </c>
      <c r="I233">
        <v>1.58233207878875</v>
      </c>
      <c r="J233">
        <v>6.1887847005688146</v>
      </c>
      <c r="K233">
        <v>4.8249697685241699</v>
      </c>
      <c r="L233">
        <v>17.940251090871602</v>
      </c>
      <c r="M233">
        <v>8100374</v>
      </c>
      <c r="Q233">
        <v>1.5525468669935187</v>
      </c>
      <c r="R233">
        <v>21.181580332776935</v>
      </c>
      <c r="T233">
        <v>86.295837946981052</v>
      </c>
      <c r="U233">
        <v>10.642609596252401</v>
      </c>
      <c r="V233">
        <v>63.868000000000002</v>
      </c>
      <c r="W233">
        <v>5.183113960308015</v>
      </c>
    </row>
    <row r="234" spans="1:23" x14ac:dyDescent="0.3">
      <c r="A234" t="s">
        <v>129</v>
      </c>
      <c r="B234" s="2" t="s">
        <v>93</v>
      </c>
      <c r="C234">
        <v>10.588000416128622</v>
      </c>
      <c r="D234">
        <v>17.931000000000001</v>
      </c>
      <c r="F234">
        <v>13.224</v>
      </c>
      <c r="G234">
        <v>31.861999999999998</v>
      </c>
      <c r="H234">
        <v>16.440000000000001</v>
      </c>
      <c r="I234">
        <v>1.49661980506301</v>
      </c>
      <c r="J234">
        <v>5.1325369473523432</v>
      </c>
      <c r="L234">
        <v>17.352914347319178</v>
      </c>
      <c r="M234">
        <v>8304599</v>
      </c>
      <c r="N234">
        <v>49.927</v>
      </c>
      <c r="Q234">
        <v>1.5473605424266008</v>
      </c>
      <c r="R234">
        <v>21.487808125514601</v>
      </c>
      <c r="T234">
        <v>87.460498873568596</v>
      </c>
      <c r="U234">
        <v>10.7795495986938</v>
      </c>
      <c r="V234">
        <v>64.346000000000004</v>
      </c>
      <c r="W234">
        <v>5.1416715295336148</v>
      </c>
    </row>
    <row r="235" spans="1:23" x14ac:dyDescent="0.3">
      <c r="A235" t="s">
        <v>129</v>
      </c>
      <c r="B235" s="2" t="s">
        <v>94</v>
      </c>
      <c r="C235">
        <v>-5.4054478719740189</v>
      </c>
      <c r="D235">
        <v>22.86</v>
      </c>
      <c r="F235">
        <v>13.364000000000001</v>
      </c>
      <c r="H235">
        <v>16.558</v>
      </c>
      <c r="I235">
        <v>1.5214228224144499</v>
      </c>
      <c r="J235">
        <v>5.0460831209635284</v>
      </c>
      <c r="K235">
        <v>4.7348098754882804</v>
      </c>
      <c r="L235">
        <v>18.034888381499652</v>
      </c>
      <c r="M235">
        <v>8538328</v>
      </c>
      <c r="N235">
        <v>51.96</v>
      </c>
      <c r="O235">
        <v>3.7100000000000002E-3</v>
      </c>
      <c r="Q235">
        <v>0.85771412858707952</v>
      </c>
      <c r="R235">
        <v>24.534181621291211</v>
      </c>
      <c r="T235">
        <v>88.344630022763866</v>
      </c>
      <c r="U235">
        <v>11.2644500732422</v>
      </c>
      <c r="V235">
        <v>64.724999999999994</v>
      </c>
      <c r="W235">
        <v>6.1235816477552323</v>
      </c>
    </row>
    <row r="236" spans="1:23" x14ac:dyDescent="0.3">
      <c r="A236" t="s">
        <v>129</v>
      </c>
      <c r="B236" s="2" t="s">
        <v>95</v>
      </c>
      <c r="C236">
        <v>12.372876270049616</v>
      </c>
      <c r="D236">
        <v>17.760000000000002</v>
      </c>
      <c r="F236">
        <v>12.864000000000001</v>
      </c>
      <c r="H236">
        <v>16.228999999999999</v>
      </c>
      <c r="I236">
        <v>1.5361960642424799</v>
      </c>
      <c r="J236">
        <v>5.0171336122131223</v>
      </c>
      <c r="L236">
        <v>15.797244496597019</v>
      </c>
      <c r="M236">
        <v>8744548</v>
      </c>
      <c r="O236">
        <v>5.6800000000000002E-3</v>
      </c>
      <c r="Q236">
        <v>0.82803704577958515</v>
      </c>
      <c r="R236">
        <v>24.06889658954525</v>
      </c>
      <c r="T236">
        <v>84.649681063624186</v>
      </c>
      <c r="V236">
        <v>65.225999999999999</v>
      </c>
      <c r="W236">
        <v>2.9868092277301672</v>
      </c>
    </row>
    <row r="237" spans="1:23" x14ac:dyDescent="0.3">
      <c r="A237" t="s">
        <v>129</v>
      </c>
      <c r="B237" s="2" t="s">
        <v>96</v>
      </c>
      <c r="C237">
        <v>-1.5607023455078206</v>
      </c>
      <c r="D237">
        <v>16.670000000000002</v>
      </c>
      <c r="F237">
        <v>13.348000000000001</v>
      </c>
      <c r="H237">
        <v>16.667000000000002</v>
      </c>
      <c r="I237">
        <v>1.5002842238487999</v>
      </c>
      <c r="J237">
        <v>4.8350291879224478</v>
      </c>
      <c r="L237">
        <v>17.018646262748394</v>
      </c>
      <c r="M237">
        <v>8973540</v>
      </c>
      <c r="O237">
        <v>2.1599999999999998E-2</v>
      </c>
      <c r="Q237">
        <v>2.7570900648481351</v>
      </c>
      <c r="R237">
        <v>40.541180255845525</v>
      </c>
      <c r="T237">
        <v>89.250383661904962</v>
      </c>
      <c r="U237">
        <v>11.553009986877401</v>
      </c>
      <c r="V237">
        <v>65.616</v>
      </c>
      <c r="W237">
        <v>1.038198950516136</v>
      </c>
    </row>
    <row r="238" spans="1:23" x14ac:dyDescent="0.3">
      <c r="A238" t="s">
        <v>129</v>
      </c>
      <c r="B238" s="2" t="s">
        <v>97</v>
      </c>
      <c r="C238">
        <v>7.2385526769198663</v>
      </c>
      <c r="D238">
        <v>19.12</v>
      </c>
      <c r="F238">
        <v>12.863</v>
      </c>
      <c r="G238">
        <v>35.020000000000003</v>
      </c>
      <c r="H238">
        <v>16.321999999999999</v>
      </c>
      <c r="I238">
        <v>1.4892629097785699</v>
      </c>
      <c r="J238">
        <v>4.3241742892281474</v>
      </c>
      <c r="K238">
        <v>4.5993900299072301</v>
      </c>
      <c r="L238">
        <v>14.304671604045552</v>
      </c>
      <c r="M238">
        <v>9186440</v>
      </c>
      <c r="N238">
        <v>48.08</v>
      </c>
      <c r="O238">
        <v>0.14200000000000002</v>
      </c>
      <c r="Q238">
        <v>0.66393127065203417</v>
      </c>
      <c r="R238">
        <v>37.529918007700552</v>
      </c>
      <c r="T238">
        <v>89.337506254749158</v>
      </c>
      <c r="U238">
        <v>9.1035203933715803</v>
      </c>
      <c r="V238">
        <v>66.007999999999996</v>
      </c>
      <c r="W238">
        <v>2.7531133076447709</v>
      </c>
    </row>
    <row r="239" spans="1:23" x14ac:dyDescent="0.3">
      <c r="A239" t="s">
        <v>129</v>
      </c>
      <c r="B239" s="2" t="s">
        <v>98</v>
      </c>
      <c r="C239">
        <v>1.6970614772565966</v>
      </c>
      <c r="D239">
        <v>13.94</v>
      </c>
      <c r="F239">
        <v>13.291</v>
      </c>
      <c r="G239">
        <v>20.49</v>
      </c>
      <c r="H239">
        <v>16.725000000000001</v>
      </c>
      <c r="I239">
        <v>1.4574904833644799</v>
      </c>
      <c r="J239">
        <v>4.1890106672983052</v>
      </c>
      <c r="K239">
        <v>4.6252698898315403</v>
      </c>
      <c r="L239">
        <v>15.401886989642962</v>
      </c>
      <c r="M239">
        <v>9407654</v>
      </c>
      <c r="N239">
        <v>54.38</v>
      </c>
      <c r="O239">
        <v>0.17600000000000002</v>
      </c>
      <c r="Q239">
        <v>1.7874170345466025</v>
      </c>
      <c r="R239">
        <v>40.459600560419268</v>
      </c>
      <c r="T239">
        <v>88.020803827833916</v>
      </c>
      <c r="U239">
        <v>9.5448303222656197</v>
      </c>
      <c r="V239">
        <v>66.403999999999996</v>
      </c>
      <c r="W239">
        <v>0.68478260869564278</v>
      </c>
    </row>
    <row r="240" spans="1:23" x14ac:dyDescent="0.3">
      <c r="A240" t="s">
        <v>129</v>
      </c>
      <c r="B240" s="2" t="s">
        <v>99</v>
      </c>
      <c r="C240">
        <v>2.5821809149974655</v>
      </c>
      <c r="D240">
        <v>13.58</v>
      </c>
      <c r="F240">
        <v>13.013999999999999</v>
      </c>
      <c r="H240">
        <v>16.777000000000001</v>
      </c>
      <c r="I240">
        <v>1.4039263010082901</v>
      </c>
      <c r="J240">
        <v>5.0234546835843767</v>
      </c>
      <c r="L240">
        <v>15.901644114606592</v>
      </c>
      <c r="M240">
        <v>9622622</v>
      </c>
      <c r="N240">
        <v>53.4</v>
      </c>
      <c r="O240">
        <v>0.69379100000000005</v>
      </c>
      <c r="Q240">
        <v>0.99158185875016669</v>
      </c>
      <c r="R240">
        <v>43.661010745253762</v>
      </c>
      <c r="T240">
        <v>90.137099134053528</v>
      </c>
      <c r="U240">
        <v>10.146120071411101</v>
      </c>
      <c r="V240">
        <v>66.793999999999997</v>
      </c>
      <c r="W240">
        <v>1.894634567634643</v>
      </c>
    </row>
    <row r="241" spans="1:23" x14ac:dyDescent="0.3">
      <c r="A241" t="s">
        <v>129</v>
      </c>
      <c r="B241" s="2" t="s">
        <v>100</v>
      </c>
      <c r="C241">
        <v>7.721825195777285</v>
      </c>
      <c r="D241">
        <v>12.46</v>
      </c>
      <c r="F241">
        <v>12.505000000000001</v>
      </c>
      <c r="G241">
        <v>18.899999999999999</v>
      </c>
      <c r="H241">
        <v>16.498999999999999</v>
      </c>
      <c r="I241">
        <v>1.36697144784375</v>
      </c>
      <c r="J241">
        <v>7.4396762988629295</v>
      </c>
      <c r="L241">
        <v>16.10308184696558</v>
      </c>
      <c r="M241">
        <v>9824822</v>
      </c>
      <c r="N241">
        <v>51.27</v>
      </c>
      <c r="O241">
        <v>1.37144</v>
      </c>
      <c r="Q241">
        <v>6.444129283654541</v>
      </c>
      <c r="R241">
        <v>38.133607000113692</v>
      </c>
      <c r="T241">
        <v>94.801272640279123</v>
      </c>
      <c r="U241">
        <v>10.5071296691894</v>
      </c>
      <c r="V241">
        <v>67.2</v>
      </c>
      <c r="W241">
        <v>0.61980187529797515</v>
      </c>
    </row>
    <row r="242" spans="1:23" x14ac:dyDescent="0.3">
      <c r="A242" t="s">
        <v>129</v>
      </c>
      <c r="B242" s="2" t="s">
        <v>101</v>
      </c>
      <c r="C242">
        <v>3.730197374857454</v>
      </c>
      <c r="D242">
        <v>11.59</v>
      </c>
      <c r="F242">
        <v>12.547000000000001</v>
      </c>
      <c r="G242">
        <v>17.63</v>
      </c>
      <c r="H242">
        <v>16.774000000000001</v>
      </c>
      <c r="I242">
        <v>1.3221381681416899</v>
      </c>
      <c r="J242">
        <v>6.1115637256939701</v>
      </c>
      <c r="L242">
        <v>15.826524873749491</v>
      </c>
      <c r="M242">
        <v>9924141</v>
      </c>
      <c r="N242">
        <v>50.69</v>
      </c>
      <c r="O242">
        <v>2.3732500000000001</v>
      </c>
      <c r="Q242">
        <v>1.0203575781139305</v>
      </c>
      <c r="R242">
        <v>37.035917541425569</v>
      </c>
      <c r="T242">
        <v>88.157465932270796</v>
      </c>
      <c r="U242">
        <v>10.6168403625488</v>
      </c>
      <c r="V242">
        <v>67.581999999999994</v>
      </c>
      <c r="W242">
        <v>2.7956196693693629</v>
      </c>
    </row>
    <row r="243" spans="1:23" x14ac:dyDescent="0.3">
      <c r="A243" t="s">
        <v>129</v>
      </c>
      <c r="B243" s="2" t="s">
        <v>102</v>
      </c>
      <c r="C243">
        <v>6.1711021495324445</v>
      </c>
      <c r="D243">
        <v>11.92</v>
      </c>
      <c r="F243">
        <v>13.004</v>
      </c>
      <c r="G243">
        <v>17.02</v>
      </c>
      <c r="H243">
        <v>15.906000000000001</v>
      </c>
      <c r="I243">
        <v>1.2703108159985701</v>
      </c>
      <c r="J243">
        <v>6.2277377491263159</v>
      </c>
      <c r="L243">
        <v>15.632291612951764</v>
      </c>
      <c r="M243">
        <v>10130763</v>
      </c>
      <c r="N243">
        <v>51.92</v>
      </c>
      <c r="O243">
        <v>3.35337</v>
      </c>
      <c r="Q243">
        <v>3.9856198475430586</v>
      </c>
      <c r="R243">
        <v>36.303027641351925</v>
      </c>
      <c r="T243">
        <v>91.416251778094136</v>
      </c>
      <c r="U243">
        <v>11.041500091552701</v>
      </c>
      <c r="V243">
        <v>67.957999999999998</v>
      </c>
      <c r="W243">
        <v>1.1677336747759239</v>
      </c>
    </row>
    <row r="244" spans="1:23" x14ac:dyDescent="0.3">
      <c r="A244" t="s">
        <v>129</v>
      </c>
      <c r="B244" s="2" t="s">
        <v>103</v>
      </c>
      <c r="C244">
        <v>4.5713801651620827</v>
      </c>
      <c r="D244">
        <v>10.83</v>
      </c>
      <c r="F244">
        <v>11.37</v>
      </c>
      <c r="G244">
        <v>15.39</v>
      </c>
      <c r="H244">
        <v>14.446</v>
      </c>
      <c r="I244">
        <v>1.2821902158535201</v>
      </c>
      <c r="J244">
        <v>6.3841648096972738</v>
      </c>
      <c r="L244">
        <v>16.147933012370956</v>
      </c>
      <c r="M244">
        <v>10344794</v>
      </c>
      <c r="N244">
        <v>52.61</v>
      </c>
      <c r="O244">
        <v>11.607900000000001</v>
      </c>
      <c r="Q244">
        <v>1.351186477178042</v>
      </c>
      <c r="R244">
        <v>36.590641580706858</v>
      </c>
      <c r="T244">
        <v>83.343073924209108</v>
      </c>
      <c r="U244">
        <v>11.135800361633301</v>
      </c>
      <c r="V244">
        <v>68.272000000000006</v>
      </c>
      <c r="W244">
        <v>1.4934440338177439</v>
      </c>
    </row>
    <row r="245" spans="1:23" x14ac:dyDescent="0.3">
      <c r="A245" t="s">
        <v>129</v>
      </c>
      <c r="B245" s="2" t="s">
        <v>5</v>
      </c>
      <c r="C245">
        <v>3.1922497301583093</v>
      </c>
      <c r="D245">
        <v>11.01</v>
      </c>
      <c r="F245">
        <v>11.563000000000001</v>
      </c>
      <c r="G245">
        <v>15.7</v>
      </c>
      <c r="H245">
        <v>14.353</v>
      </c>
      <c r="I245">
        <v>1.3434730157610699</v>
      </c>
      <c r="J245">
        <v>6.6652863499045143</v>
      </c>
      <c r="L245">
        <v>16.793477965490187</v>
      </c>
      <c r="M245">
        <v>10570285</v>
      </c>
      <c r="N245">
        <v>52.1</v>
      </c>
      <c r="O245">
        <v>15.0844</v>
      </c>
      <c r="Q245">
        <v>2.4263546764783697</v>
      </c>
      <c r="R245">
        <v>39.784541767437069</v>
      </c>
      <c r="T245">
        <v>86.819269873984823</v>
      </c>
      <c r="U245">
        <v>11.69873046875</v>
      </c>
      <c r="V245">
        <v>68.748000000000005</v>
      </c>
      <c r="W245">
        <v>0.98264166001595055</v>
      </c>
    </row>
    <row r="246" spans="1:23" x14ac:dyDescent="0.3">
      <c r="A246" t="s">
        <v>129</v>
      </c>
      <c r="B246" s="2" t="s">
        <v>6</v>
      </c>
      <c r="C246">
        <v>7.7908200104026974</v>
      </c>
      <c r="D246">
        <v>9.67</v>
      </c>
      <c r="F246">
        <v>9.67</v>
      </c>
      <c r="G246">
        <v>16.559999999999999</v>
      </c>
      <c r="H246">
        <v>14.045999999999999</v>
      </c>
      <c r="I246">
        <v>1.35136550551358</v>
      </c>
      <c r="J246">
        <v>7.1838381590375295</v>
      </c>
      <c r="L246">
        <v>16.138694457556827</v>
      </c>
      <c r="M246">
        <v>10794828</v>
      </c>
      <c r="N246">
        <v>35.950000000000003</v>
      </c>
      <c r="O246">
        <v>19.7712</v>
      </c>
      <c r="Q246">
        <v>3.2428349773945557</v>
      </c>
      <c r="R246">
        <v>41.969248506718252</v>
      </c>
      <c r="T246">
        <v>87.458484745038348</v>
      </c>
      <c r="U246">
        <v>12.1653699874878</v>
      </c>
      <c r="V246">
        <v>69.156999999999996</v>
      </c>
      <c r="W246">
        <v>3.284761669548109</v>
      </c>
    </row>
    <row r="247" spans="1:23" x14ac:dyDescent="0.3">
      <c r="A247" t="s">
        <v>129</v>
      </c>
      <c r="B247" s="2" t="s">
        <v>7</v>
      </c>
      <c r="C247">
        <v>3.4410677669041831</v>
      </c>
      <c r="D247">
        <v>9.56</v>
      </c>
      <c r="F247">
        <v>9.4269999999999996</v>
      </c>
      <c r="G247">
        <v>15.58</v>
      </c>
      <c r="H247">
        <v>12.891</v>
      </c>
      <c r="I247">
        <v>1.34058101398506</v>
      </c>
      <c r="J247">
        <v>7.7408096254217673</v>
      </c>
      <c r="L247">
        <v>15.921803089509929</v>
      </c>
      <c r="M247">
        <v>11012488</v>
      </c>
      <c r="N247">
        <v>52.27</v>
      </c>
      <c r="O247">
        <v>21.5</v>
      </c>
      <c r="Q247">
        <v>3.249993323154289</v>
      </c>
      <c r="R247">
        <v>50.415807900266621</v>
      </c>
      <c r="T247">
        <v>91.897611079766961</v>
      </c>
      <c r="U247">
        <v>11.603919982910201</v>
      </c>
      <c r="V247">
        <v>69.62</v>
      </c>
      <c r="W247">
        <v>2.0420851267334421</v>
      </c>
    </row>
    <row r="248" spans="1:23" x14ac:dyDescent="0.3">
      <c r="A248" t="s">
        <v>129</v>
      </c>
      <c r="B248" s="2" t="s">
        <v>8</v>
      </c>
      <c r="C248">
        <v>5.6845393628473175</v>
      </c>
      <c r="D248">
        <v>9.57</v>
      </c>
      <c r="F248">
        <v>9.7840000000000007</v>
      </c>
      <c r="G248">
        <v>18.25</v>
      </c>
      <c r="H248">
        <v>15.976000000000001</v>
      </c>
      <c r="I248">
        <v>1.33869604527126</v>
      </c>
      <c r="J248">
        <v>6.7708612293031907</v>
      </c>
      <c r="K248">
        <v>4.8533902168273899</v>
      </c>
      <c r="L248">
        <v>15.233147315684493</v>
      </c>
      <c r="M248">
        <v>11222651</v>
      </c>
      <c r="N248">
        <v>50.59</v>
      </c>
      <c r="O248">
        <v>33.1</v>
      </c>
      <c r="Q248">
        <v>2.4221350885278525</v>
      </c>
      <c r="R248">
        <v>55.058855602144959</v>
      </c>
      <c r="T248">
        <v>89.618583864090198</v>
      </c>
      <c r="U248">
        <v>12.6373701095581</v>
      </c>
      <c r="V248">
        <v>70.051000000000002</v>
      </c>
      <c r="W248">
        <v>3.714843114940642</v>
      </c>
    </row>
    <row r="249" spans="1:23" x14ac:dyDescent="0.3">
      <c r="A249" t="s">
        <v>129</v>
      </c>
      <c r="B249" s="2" t="s">
        <v>9</v>
      </c>
      <c r="C249">
        <v>3.7457694013625797</v>
      </c>
      <c r="D249">
        <v>8.9600000000000009</v>
      </c>
      <c r="F249">
        <v>9.2859999999999996</v>
      </c>
      <c r="G249">
        <v>16.649999999999999</v>
      </c>
      <c r="H249">
        <v>14.593</v>
      </c>
      <c r="I249">
        <v>1.33260098178586</v>
      </c>
      <c r="J249">
        <v>6.1975389455859506</v>
      </c>
      <c r="K249">
        <v>4.8311901092529297</v>
      </c>
      <c r="L249">
        <v>16.750845719461086</v>
      </c>
      <c r="M249">
        <v>11317347</v>
      </c>
      <c r="N249">
        <v>36.51</v>
      </c>
      <c r="O249">
        <v>41.3</v>
      </c>
      <c r="Q249">
        <v>1.9478274433084795</v>
      </c>
      <c r="R249">
        <v>58.04497021765237</v>
      </c>
      <c r="T249">
        <v>93.605032434922919</v>
      </c>
      <c r="U249">
        <v>13.0986795425415</v>
      </c>
      <c r="V249">
        <v>70.453999999999994</v>
      </c>
      <c r="W249">
        <v>0.97186299866763626</v>
      </c>
    </row>
    <row r="250" spans="1:23" x14ac:dyDescent="0.3">
      <c r="A250" t="s">
        <v>129</v>
      </c>
      <c r="B250" s="2" t="s">
        <v>10</v>
      </c>
      <c r="C250">
        <v>3.4995570940321556</v>
      </c>
      <c r="D250">
        <v>9.09</v>
      </c>
      <c r="F250">
        <v>9.4909999999999997</v>
      </c>
      <c r="G250">
        <v>17.62</v>
      </c>
      <c r="H250">
        <v>15.863</v>
      </c>
      <c r="I250">
        <v>1.3527428621631701</v>
      </c>
      <c r="J250">
        <v>6.3674421764096296</v>
      </c>
      <c r="L250">
        <v>16.586937226168398</v>
      </c>
      <c r="M250">
        <v>11402901</v>
      </c>
      <c r="N250">
        <v>49.61</v>
      </c>
      <c r="O250">
        <v>52</v>
      </c>
      <c r="Q250">
        <v>1.2299824583834975</v>
      </c>
      <c r="R250">
        <v>61.681995960624782</v>
      </c>
      <c r="T250">
        <v>95.927096894179215</v>
      </c>
      <c r="U250">
        <v>13.9896441158412</v>
      </c>
      <c r="V250">
        <v>70.820999999999998</v>
      </c>
      <c r="W250">
        <v>0.99355740122639224</v>
      </c>
    </row>
    <row r="251" spans="1:23" x14ac:dyDescent="0.3">
      <c r="A251" t="s">
        <v>129</v>
      </c>
      <c r="B251" s="2" t="s">
        <v>11</v>
      </c>
      <c r="C251">
        <v>5.5246452331984699</v>
      </c>
      <c r="D251">
        <v>8.91</v>
      </c>
      <c r="F251">
        <v>10.246</v>
      </c>
      <c r="G251">
        <v>17.920000000000002</v>
      </c>
      <c r="H251">
        <v>17.305</v>
      </c>
      <c r="I251">
        <v>1.3630516898937699</v>
      </c>
      <c r="J251">
        <v>6.5918143853716398</v>
      </c>
      <c r="L251">
        <v>17.221040060281169</v>
      </c>
      <c r="M251">
        <v>11491567</v>
      </c>
      <c r="N251">
        <v>49.16</v>
      </c>
      <c r="O251">
        <v>46.107500000000002</v>
      </c>
      <c r="Q251">
        <v>2.2904684049663904</v>
      </c>
      <c r="R251">
        <v>64.761761301076405</v>
      </c>
      <c r="T251">
        <v>95.435532836866528</v>
      </c>
      <c r="U251">
        <v>15.8539977340994</v>
      </c>
      <c r="V251">
        <v>71.263000000000005</v>
      </c>
      <c r="W251">
        <v>0.90692490969179995</v>
      </c>
    </row>
    <row r="252" spans="1:23" x14ac:dyDescent="0.3">
      <c r="A252" t="s">
        <v>129</v>
      </c>
      <c r="B252" s="2" t="s">
        <v>12</v>
      </c>
      <c r="C252">
        <v>3.0623436850299726</v>
      </c>
      <c r="D252">
        <v>8.99</v>
      </c>
      <c r="F252">
        <v>9.9570000000000007</v>
      </c>
      <c r="G252">
        <v>18.61</v>
      </c>
      <c r="H252">
        <v>19.015999999999998</v>
      </c>
      <c r="I252">
        <v>1.3359712863904001</v>
      </c>
      <c r="J252">
        <v>6.0857153401165611</v>
      </c>
      <c r="K252">
        <v>5.5529483857720798</v>
      </c>
      <c r="L252">
        <v>18.227959119015196</v>
      </c>
      <c r="M252">
        <v>11505127</v>
      </c>
      <c r="N252">
        <v>48.41</v>
      </c>
      <c r="O252">
        <v>55.4161</v>
      </c>
      <c r="Q252">
        <v>2.6575871264150654</v>
      </c>
      <c r="R252">
        <v>65.743786475883809</v>
      </c>
      <c r="T252">
        <v>103.80375398236885</v>
      </c>
      <c r="U252">
        <v>19.047228248907299</v>
      </c>
      <c r="V252">
        <v>71.674000000000007</v>
      </c>
      <c r="W252">
        <v>1.287122400792192</v>
      </c>
    </row>
    <row r="253" spans="1:23" x14ac:dyDescent="0.3">
      <c r="A253" t="s">
        <v>129</v>
      </c>
      <c r="B253" s="2" t="s">
        <v>13</v>
      </c>
      <c r="C253">
        <v>4.1222128686094379</v>
      </c>
      <c r="D253">
        <v>9.23</v>
      </c>
      <c r="F253">
        <v>9.5719999999999992</v>
      </c>
      <c r="G253">
        <v>19.13</v>
      </c>
      <c r="H253">
        <v>18.076000000000001</v>
      </c>
      <c r="I253">
        <v>1.2878101530278401</v>
      </c>
      <c r="J253">
        <v>5.9458634317153551</v>
      </c>
      <c r="L253">
        <v>18.328575020397267</v>
      </c>
      <c r="M253">
        <v>11668836</v>
      </c>
      <c r="N253">
        <v>48.31</v>
      </c>
      <c r="O253">
        <v>56</v>
      </c>
      <c r="Q253">
        <v>2.9038626404404093</v>
      </c>
      <c r="R253">
        <v>62.862741010928822</v>
      </c>
      <c r="T253">
        <v>99.661035969975231</v>
      </c>
      <c r="U253">
        <v>22.4068908691406</v>
      </c>
      <c r="V253">
        <v>72.117000000000004</v>
      </c>
      <c r="W253">
        <v>1.8806546672408591</v>
      </c>
    </row>
    <row r="254" spans="1:23" x14ac:dyDescent="0.3">
      <c r="A254" t="s">
        <v>129</v>
      </c>
      <c r="B254" s="2" t="s">
        <v>14</v>
      </c>
      <c r="C254">
        <v>2.7192440802028983</v>
      </c>
      <c r="D254">
        <v>9.6999999999999993</v>
      </c>
      <c r="F254">
        <v>10.287000000000001</v>
      </c>
      <c r="G254">
        <v>19.940000000000001</v>
      </c>
      <c r="H254">
        <v>17.553000000000001</v>
      </c>
      <c r="I254">
        <v>1.22723874148544</v>
      </c>
      <c r="J254">
        <v>6.5379333561520809</v>
      </c>
      <c r="K254">
        <v>5.4827603664272102</v>
      </c>
      <c r="L254">
        <v>19.105121153842315</v>
      </c>
      <c r="M254">
        <v>11789129</v>
      </c>
      <c r="N254">
        <v>48.06</v>
      </c>
      <c r="O254">
        <v>56.7746</v>
      </c>
      <c r="Q254">
        <v>2.9592543548448864</v>
      </c>
      <c r="R254">
        <v>63.039701454571151</v>
      </c>
      <c r="T254">
        <v>102.78751819258093</v>
      </c>
      <c r="U254">
        <v>25.311241503142199</v>
      </c>
      <c r="V254">
        <v>72.522000000000006</v>
      </c>
      <c r="W254">
        <v>0.44231005355704789</v>
      </c>
    </row>
    <row r="255" spans="1:23" x14ac:dyDescent="0.3">
      <c r="A255" t="s">
        <v>129</v>
      </c>
      <c r="B255" s="2" t="s">
        <v>15</v>
      </c>
      <c r="C255">
        <v>4.3445829763523847</v>
      </c>
      <c r="D255">
        <v>9.4600000000000009</v>
      </c>
      <c r="F255">
        <v>10.414999999999999</v>
      </c>
      <c r="G255">
        <v>20.8</v>
      </c>
      <c r="H255">
        <v>21.355</v>
      </c>
      <c r="I255">
        <v>1.1707563993874099</v>
      </c>
      <c r="J255">
        <v>6.2524269134955981</v>
      </c>
      <c r="K255">
        <v>5.1333690436769999</v>
      </c>
      <c r="L255">
        <v>18.156437276404553</v>
      </c>
      <c r="M255">
        <v>11817289</v>
      </c>
      <c r="N255">
        <v>47.47</v>
      </c>
      <c r="O255">
        <v>57.08</v>
      </c>
      <c r="P255">
        <v>3.7039170877095491</v>
      </c>
      <c r="Q255">
        <v>2.9461110839015405</v>
      </c>
      <c r="R255">
        <v>58.396522932278529</v>
      </c>
      <c r="T255">
        <v>96.036652939570544</v>
      </c>
      <c r="U255">
        <v>28.551913057315399</v>
      </c>
      <c r="V255">
        <v>72.894000000000005</v>
      </c>
      <c r="W255">
        <v>1.5579071134626019</v>
      </c>
    </row>
    <row r="256" spans="1:23" x14ac:dyDescent="0.3">
      <c r="A256" t="s">
        <v>129</v>
      </c>
      <c r="B256" s="2" t="s">
        <v>16</v>
      </c>
      <c r="C256">
        <v>0.52118550608967951</v>
      </c>
      <c r="D256">
        <v>9.3000000000000007</v>
      </c>
      <c r="F256">
        <v>10.693</v>
      </c>
      <c r="G256">
        <v>22.24</v>
      </c>
      <c r="H256">
        <v>22.672000000000001</v>
      </c>
      <c r="I256">
        <v>1.1945072627751601</v>
      </c>
      <c r="J256">
        <v>5.7213455906472417</v>
      </c>
      <c r="K256">
        <v>5.0853019742307302</v>
      </c>
      <c r="L256">
        <v>18.361725713251737</v>
      </c>
      <c r="M256">
        <v>11764216</v>
      </c>
      <c r="N256">
        <v>46.55</v>
      </c>
      <c r="O256">
        <v>58.2712</v>
      </c>
      <c r="P256">
        <v>3.7449874685658808</v>
      </c>
      <c r="Q256">
        <v>1.9300054025105589</v>
      </c>
      <c r="R256">
        <v>59.189660135912114</v>
      </c>
      <c r="T256">
        <v>94.925096630784495</v>
      </c>
      <c r="U256">
        <v>32.095257924323903</v>
      </c>
      <c r="V256">
        <v>73.227999999999994</v>
      </c>
      <c r="W256">
        <v>1.6353111432706431</v>
      </c>
    </row>
    <row r="257" spans="1:23" x14ac:dyDescent="0.3">
      <c r="A257" t="s">
        <v>129</v>
      </c>
      <c r="B257" s="2" t="s">
        <v>17</v>
      </c>
      <c r="C257">
        <v>5.0578981617344567</v>
      </c>
      <c r="F257">
        <v>10.629</v>
      </c>
      <c r="H257">
        <v>22.643999999999998</v>
      </c>
      <c r="I257">
        <v>1.20034336418867</v>
      </c>
      <c r="J257">
        <v>5.7558369461731917</v>
      </c>
      <c r="K257">
        <v>4.7356498200444799</v>
      </c>
      <c r="L257">
        <v>17.981973983697376</v>
      </c>
      <c r="M257">
        <v>11672302</v>
      </c>
      <c r="N257">
        <v>45.5</v>
      </c>
      <c r="O257">
        <v>61.7622</v>
      </c>
      <c r="P257">
        <v>3.8631376132361268</v>
      </c>
      <c r="Q257">
        <v>2.2609219612053737</v>
      </c>
      <c r="R257">
        <v>58.224783574811624</v>
      </c>
      <c r="T257">
        <v>95.127932316967915</v>
      </c>
      <c r="U257">
        <v>33.473543309070301</v>
      </c>
      <c r="V257">
        <v>73.608000000000004</v>
      </c>
      <c r="W257">
        <v>0.7546632493236185</v>
      </c>
    </row>
    <row r="258" spans="1:23" x14ac:dyDescent="0.3">
      <c r="A258" t="s">
        <v>129</v>
      </c>
      <c r="B258" s="2" t="s">
        <v>18</v>
      </c>
      <c r="C258">
        <v>3.0656413302595524</v>
      </c>
      <c r="F258">
        <v>10.685</v>
      </c>
      <c r="H258">
        <v>22.895</v>
      </c>
      <c r="I258">
        <v>1.1036421008163</v>
      </c>
      <c r="J258">
        <v>5.4337659735872759</v>
      </c>
      <c r="K258">
        <v>4.9602271348694904</v>
      </c>
      <c r="L258">
        <v>17.995761510060348</v>
      </c>
      <c r="M258">
        <v>11919387</v>
      </c>
      <c r="O258">
        <v>64.803899999999999</v>
      </c>
      <c r="P258">
        <v>4.0186021920557744</v>
      </c>
      <c r="Q258">
        <v>2.7833793684016364</v>
      </c>
      <c r="R258">
        <v>57.766605898665624</v>
      </c>
      <c r="T258">
        <v>96.286828337830315</v>
      </c>
      <c r="U258">
        <v>35.319186358341</v>
      </c>
      <c r="V258">
        <v>73.945999999999998</v>
      </c>
      <c r="W258">
        <v>1.8039167114189589</v>
      </c>
    </row>
    <row r="259" spans="1:23" x14ac:dyDescent="0.3">
      <c r="A259" t="s">
        <v>129</v>
      </c>
      <c r="B259" s="2" t="s">
        <v>19</v>
      </c>
      <c r="C259">
        <v>2.8909747613707708</v>
      </c>
      <c r="F259">
        <v>10.621</v>
      </c>
      <c r="H259">
        <v>22.963999999999999</v>
      </c>
      <c r="I259">
        <v>1.0302231593369799</v>
      </c>
      <c r="J259">
        <v>5.4006857471569418</v>
      </c>
      <c r="K259">
        <v>5.0032567210502004</v>
      </c>
      <c r="L259">
        <v>18.178936569030096</v>
      </c>
      <c r="M259">
        <v>12163466</v>
      </c>
      <c r="O259">
        <v>84.120400000000004</v>
      </c>
      <c r="P259">
        <v>4.8537538818933728</v>
      </c>
      <c r="Q259">
        <v>1.3347978956741524</v>
      </c>
      <c r="R259">
        <v>58.818735931885669</v>
      </c>
      <c r="T259">
        <v>92.42728367577827</v>
      </c>
      <c r="U259">
        <v>37.721202138248103</v>
      </c>
      <c r="V259">
        <v>74.245000000000005</v>
      </c>
      <c r="W259">
        <v>0.30338603659038332</v>
      </c>
    </row>
    <row r="260" spans="1:23" x14ac:dyDescent="0.3">
      <c r="A260" t="s">
        <v>129</v>
      </c>
      <c r="B260" s="2" t="s">
        <v>20</v>
      </c>
      <c r="C260">
        <v>-7.1782074424677376</v>
      </c>
      <c r="F260">
        <v>12.218999999999999</v>
      </c>
      <c r="H260">
        <v>27.222999999999999</v>
      </c>
      <c r="I260">
        <v>1.02565486360782</v>
      </c>
      <c r="J260">
        <v>6.1095309186208775</v>
      </c>
      <c r="K260">
        <v>6.2842826364430699</v>
      </c>
      <c r="L260">
        <v>19.404985956335789</v>
      </c>
      <c r="M260">
        <v>11894936</v>
      </c>
      <c r="O260">
        <v>84.120400000000004</v>
      </c>
      <c r="P260">
        <v>4.3890711452474376</v>
      </c>
      <c r="Q260">
        <v>1.169073345875584</v>
      </c>
      <c r="R260">
        <v>66.008241876396141</v>
      </c>
      <c r="T260">
        <v>90.732170337365915</v>
      </c>
      <c r="U260">
        <v>39.685804757444501</v>
      </c>
      <c r="V260">
        <v>73.132999999999996</v>
      </c>
      <c r="W260">
        <v>0.70596866133826075</v>
      </c>
    </row>
    <row r="261" spans="1:23" x14ac:dyDescent="0.3">
      <c r="A261" t="s">
        <v>129</v>
      </c>
      <c r="B261" s="2" t="s">
        <v>21</v>
      </c>
      <c r="C261">
        <v>8.1547388982368147</v>
      </c>
      <c r="D261">
        <v>12.28</v>
      </c>
      <c r="F261">
        <v>11.901</v>
      </c>
      <c r="G261">
        <v>31.76</v>
      </c>
      <c r="H261">
        <v>25.779</v>
      </c>
      <c r="I261">
        <v>1.00691847923959</v>
      </c>
      <c r="J261">
        <v>7.6792853698634342</v>
      </c>
      <c r="K261">
        <v>5.6427340128513803</v>
      </c>
      <c r="L261">
        <v>18.97383834562023</v>
      </c>
      <c r="M261">
        <v>12266110</v>
      </c>
      <c r="N261">
        <v>45.3</v>
      </c>
      <c r="O261">
        <v>88.130300000000005</v>
      </c>
      <c r="P261">
        <v>4.3012763601155495</v>
      </c>
      <c r="Q261">
        <v>1.5942232144536594</v>
      </c>
      <c r="R261">
        <v>61.814096620737949</v>
      </c>
      <c r="T261">
        <v>91.355701036551906</v>
      </c>
      <c r="U261">
        <v>42.531967383805998</v>
      </c>
      <c r="V261">
        <v>73.385000000000005</v>
      </c>
      <c r="W261">
        <v>1.4019588396200591</v>
      </c>
    </row>
    <row r="262" spans="1:23" x14ac:dyDescent="0.3">
      <c r="A262" t="s">
        <v>129</v>
      </c>
      <c r="B262" s="2" t="s">
        <v>22</v>
      </c>
      <c r="C262">
        <v>1.8126924219480856</v>
      </c>
      <c r="D262">
        <v>11.79</v>
      </c>
      <c r="F262">
        <v>11.045999999999999</v>
      </c>
      <c r="G262">
        <v>32.65</v>
      </c>
      <c r="H262">
        <v>23.128</v>
      </c>
      <c r="I262">
        <v>1.0086362267270099</v>
      </c>
      <c r="J262">
        <v>8.5111025708593786</v>
      </c>
      <c r="K262">
        <v>5.9122467406127699</v>
      </c>
      <c r="L262">
        <v>18.940578415779367</v>
      </c>
      <c r="M262">
        <v>12170356</v>
      </c>
      <c r="N262">
        <v>44.3</v>
      </c>
      <c r="O262">
        <v>89.9</v>
      </c>
      <c r="P262">
        <v>4.498382084083878</v>
      </c>
      <c r="Q262">
        <v>1.7481432366207577</v>
      </c>
      <c r="R262">
        <v>63.690749327835327</v>
      </c>
      <c r="T262">
        <v>94.00201185039306</v>
      </c>
      <c r="U262">
        <v>45.940021915513803</v>
      </c>
      <c r="V262">
        <v>75.161000000000001</v>
      </c>
      <c r="W262">
        <v>6.657042027590669</v>
      </c>
    </row>
    <row r="263" spans="1:23" x14ac:dyDescent="0.3">
      <c r="A263" t="s">
        <v>129</v>
      </c>
      <c r="B263" s="2" t="s">
        <v>23</v>
      </c>
      <c r="C263">
        <v>3.6556441101793098</v>
      </c>
      <c r="F263">
        <v>10.577999999999999</v>
      </c>
      <c r="H263">
        <v>22.532</v>
      </c>
      <c r="I263">
        <v>1.02195181223548</v>
      </c>
      <c r="J263">
        <v>8.0456838833246014</v>
      </c>
      <c r="K263">
        <v>6.0209692880132897</v>
      </c>
      <c r="L263">
        <v>18.150541674578971</v>
      </c>
      <c r="M263">
        <v>12335833</v>
      </c>
      <c r="O263">
        <v>91</v>
      </c>
      <c r="P263">
        <v>5.4307056726114373</v>
      </c>
      <c r="Q263">
        <v>0.72586412267268274</v>
      </c>
      <c r="R263">
        <v>57.661719693912339</v>
      </c>
      <c r="T263">
        <v>93.644880507388777</v>
      </c>
      <c r="U263">
        <v>47.468703929803603</v>
      </c>
      <c r="V263">
        <v>75.313000000000002</v>
      </c>
      <c r="W263">
        <v>6.091141525041408</v>
      </c>
    </row>
    <row r="264" spans="1:23" x14ac:dyDescent="0.3">
      <c r="A264" t="s">
        <v>129</v>
      </c>
      <c r="B264" s="2" t="s">
        <v>104</v>
      </c>
      <c r="C264">
        <v>3.7933651597896301</v>
      </c>
      <c r="F264">
        <v>10.76</v>
      </c>
      <c r="H264">
        <v>22.82</v>
      </c>
      <c r="I264">
        <v>0.97282759529671403</v>
      </c>
      <c r="J264">
        <v>7.7895902428782291</v>
      </c>
      <c r="L264">
        <v>17.951915050047003</v>
      </c>
      <c r="M264">
        <v>12497271</v>
      </c>
      <c r="Q264">
        <v>1.0204778987189946</v>
      </c>
      <c r="R264">
        <v>54.774071614077414</v>
      </c>
      <c r="U264">
        <v>48.183961751057197</v>
      </c>
      <c r="W264">
        <v>0.98525659200450688</v>
      </c>
    </row>
    <row r="265" spans="1:23" x14ac:dyDescent="0.3">
      <c r="A265" t="s">
        <v>129</v>
      </c>
      <c r="B265" s="2" t="s">
        <v>105</v>
      </c>
      <c r="F265">
        <v>10.625999999999999</v>
      </c>
      <c r="H265">
        <v>22.591999999999999</v>
      </c>
      <c r="M265">
        <v>12631464</v>
      </c>
    </row>
    <row r="266" spans="1:23" x14ac:dyDescent="0.3">
      <c r="A266" t="s">
        <v>130</v>
      </c>
      <c r="B266" s="7">
        <v>1960</v>
      </c>
      <c r="V266">
        <v>44.048999999999999</v>
      </c>
    </row>
    <row r="267" spans="1:23" x14ac:dyDescent="0.3">
      <c r="A267" t="s">
        <v>130</v>
      </c>
      <c r="B267" s="2" t="s">
        <v>60</v>
      </c>
      <c r="I267">
        <v>1.14149601585088</v>
      </c>
      <c r="R267">
        <v>21.817815168332263</v>
      </c>
      <c r="V267">
        <v>44.256999999999998</v>
      </c>
    </row>
    <row r="268" spans="1:23" x14ac:dyDescent="0.3">
      <c r="A268" t="s">
        <v>130</v>
      </c>
      <c r="B268" s="2" t="s">
        <v>61</v>
      </c>
      <c r="C268">
        <v>-4.5900845055182344</v>
      </c>
      <c r="I268">
        <v>1.2171821075809801</v>
      </c>
      <c r="R268">
        <v>24.138849650106266</v>
      </c>
      <c r="V268">
        <v>45.561999999999998</v>
      </c>
    </row>
    <row r="269" spans="1:23" x14ac:dyDescent="0.3">
      <c r="A269" t="s">
        <v>130</v>
      </c>
      <c r="B269" s="2" t="s">
        <v>62</v>
      </c>
      <c r="C269">
        <v>-10.733994714191567</v>
      </c>
      <c r="I269">
        <v>1.3186466567950399</v>
      </c>
      <c r="R269">
        <v>25.272836437052103</v>
      </c>
      <c r="V269">
        <v>46.411999999999999</v>
      </c>
    </row>
    <row r="270" spans="1:23" x14ac:dyDescent="0.3">
      <c r="A270" t="s">
        <v>130</v>
      </c>
      <c r="B270" s="2" t="s">
        <v>63</v>
      </c>
      <c r="C270">
        <v>-4.6759498576432037</v>
      </c>
      <c r="I270">
        <v>1.40717809245491</v>
      </c>
      <c r="R270">
        <v>28.061587723165466</v>
      </c>
      <c r="V270">
        <v>47.271999999999998</v>
      </c>
    </row>
    <row r="271" spans="1:23" x14ac:dyDescent="0.3">
      <c r="A271" t="s">
        <v>130</v>
      </c>
      <c r="B271" s="2" t="s">
        <v>64</v>
      </c>
      <c r="C271">
        <v>-2.5366922286226981</v>
      </c>
      <c r="I271">
        <v>1.5802780098448499</v>
      </c>
      <c r="L271">
        <v>15.183547953103979</v>
      </c>
      <c r="R271">
        <v>28.619834710743802</v>
      </c>
      <c r="V271">
        <v>48.204000000000001</v>
      </c>
    </row>
    <row r="272" spans="1:23" x14ac:dyDescent="0.3">
      <c r="A272" t="s">
        <v>130</v>
      </c>
      <c r="B272" s="2" t="s">
        <v>65</v>
      </c>
      <c r="C272">
        <v>3.4548678926953187</v>
      </c>
      <c r="I272">
        <v>1.9732621168089299</v>
      </c>
      <c r="L272">
        <v>14.45562671546203</v>
      </c>
      <c r="N272">
        <v>44.94</v>
      </c>
      <c r="R272">
        <v>32.686367795059468</v>
      </c>
      <c r="V272">
        <v>49.158000000000001</v>
      </c>
    </row>
    <row r="273" spans="1:22" x14ac:dyDescent="0.3">
      <c r="A273" t="s">
        <v>130</v>
      </c>
      <c r="B273" s="2" t="s">
        <v>66</v>
      </c>
      <c r="C273">
        <v>0.16195247032693771</v>
      </c>
      <c r="I273">
        <v>2.3092502346774801</v>
      </c>
      <c r="L273">
        <v>13.859649122807017</v>
      </c>
      <c r="R273">
        <v>34.853157894736839</v>
      </c>
      <c r="V273">
        <v>50.156999999999996</v>
      </c>
    </row>
    <row r="274" spans="1:22" x14ac:dyDescent="0.3">
      <c r="A274" t="s">
        <v>130</v>
      </c>
      <c r="B274" s="2" t="s">
        <v>67</v>
      </c>
      <c r="C274">
        <v>10.409728588409848</v>
      </c>
      <c r="I274">
        <v>2.46730939342627</v>
      </c>
      <c r="L274">
        <v>17.13972087188333</v>
      </c>
      <c r="R274">
        <v>34.93084522502744</v>
      </c>
      <c r="V274">
        <v>51.341999999999999</v>
      </c>
    </row>
    <row r="275" spans="1:22" x14ac:dyDescent="0.3">
      <c r="A275" t="s">
        <v>130</v>
      </c>
      <c r="B275" s="2" t="s">
        <v>68</v>
      </c>
      <c r="C275">
        <v>4.7478154036322451</v>
      </c>
      <c r="I275">
        <v>2.5252348544493102</v>
      </c>
      <c r="L275">
        <v>17.439456585942114</v>
      </c>
      <c r="R275">
        <v>34.603071470761961</v>
      </c>
      <c r="V275">
        <v>52.296999999999997</v>
      </c>
    </row>
    <row r="276" spans="1:22" x14ac:dyDescent="0.3">
      <c r="A276" t="s">
        <v>130</v>
      </c>
      <c r="B276" s="2" t="s">
        <v>69</v>
      </c>
      <c r="C276">
        <v>4.669631772670499</v>
      </c>
      <c r="I276">
        <v>2.50008754457303</v>
      </c>
      <c r="L276">
        <v>16.860772895712017</v>
      </c>
      <c r="Q276">
        <v>1.1116993118051879</v>
      </c>
      <c r="R276">
        <v>33.720884065643197</v>
      </c>
      <c r="V276">
        <v>53.792000000000002</v>
      </c>
    </row>
    <row r="277" spans="1:22" x14ac:dyDescent="0.3">
      <c r="A277" t="s">
        <v>130</v>
      </c>
      <c r="B277" s="2" t="s">
        <v>70</v>
      </c>
      <c r="C277">
        <v>10.560197480686284</v>
      </c>
      <c r="I277">
        <v>2.50684392873467</v>
      </c>
      <c r="L277">
        <v>15.660463004993192</v>
      </c>
      <c r="Q277">
        <v>1.3648537221970041</v>
      </c>
      <c r="R277">
        <v>32.317067635043124</v>
      </c>
      <c r="U277">
        <v>2.30262994766235</v>
      </c>
      <c r="V277">
        <v>54.905999999999999</v>
      </c>
    </row>
    <row r="278" spans="1:22" x14ac:dyDescent="0.3">
      <c r="A278" t="s">
        <v>130</v>
      </c>
      <c r="B278" s="2" t="s">
        <v>71</v>
      </c>
      <c r="C278">
        <v>17.74271826103319</v>
      </c>
      <c r="I278">
        <v>2.53149714219045</v>
      </c>
      <c r="L278">
        <v>14.576112412177986</v>
      </c>
      <c r="Q278">
        <v>1.4748233255269321</v>
      </c>
      <c r="R278">
        <v>31.089555035128807</v>
      </c>
      <c r="U278">
        <v>2.3674399852752699</v>
      </c>
      <c r="V278">
        <v>56.094999999999999</v>
      </c>
    </row>
    <row r="279" spans="1:22" x14ac:dyDescent="0.3">
      <c r="A279" t="s">
        <v>130</v>
      </c>
      <c r="B279" s="2" t="s">
        <v>72</v>
      </c>
      <c r="C279">
        <v>-0.65464350226631041</v>
      </c>
      <c r="I279">
        <v>2.57353852346793</v>
      </c>
      <c r="L279">
        <v>15.148093459567447</v>
      </c>
      <c r="Q279">
        <v>2.1239093198992443</v>
      </c>
      <c r="R279">
        <v>34.376704594805872</v>
      </c>
      <c r="U279">
        <v>2.2218599319457999</v>
      </c>
      <c r="V279">
        <v>57.115000000000002</v>
      </c>
    </row>
    <row r="280" spans="1:22" x14ac:dyDescent="0.3">
      <c r="A280" t="s">
        <v>130</v>
      </c>
      <c r="B280" s="2" t="s">
        <v>73</v>
      </c>
      <c r="C280">
        <v>8.0747823343126015</v>
      </c>
      <c r="I280">
        <v>2.62772388071346</v>
      </c>
      <c r="L280">
        <v>13.225222897015119</v>
      </c>
      <c r="Q280">
        <v>0.78965137614678893</v>
      </c>
      <c r="R280">
        <v>33.470991084119397</v>
      </c>
      <c r="U280">
        <v>2.4146099090576199</v>
      </c>
      <c r="V280">
        <v>58.250999999999998</v>
      </c>
    </row>
    <row r="281" spans="1:22" x14ac:dyDescent="0.3">
      <c r="A281" t="s">
        <v>130</v>
      </c>
      <c r="B281" s="2" t="s">
        <v>74</v>
      </c>
      <c r="C281">
        <v>7.1560999091236255</v>
      </c>
      <c r="I281">
        <v>2.6830637320925299</v>
      </c>
      <c r="L281">
        <v>14.614677845411739</v>
      </c>
      <c r="N281">
        <v>51.75</v>
      </c>
      <c r="Q281">
        <v>1.0395093028597682</v>
      </c>
      <c r="R281">
        <v>38.651717009302864</v>
      </c>
      <c r="U281">
        <v>2.64432001113892</v>
      </c>
      <c r="V281">
        <v>59.305999999999997</v>
      </c>
    </row>
    <row r="282" spans="1:22" x14ac:dyDescent="0.3">
      <c r="A282" t="s">
        <v>130</v>
      </c>
      <c r="B282" s="2" t="s">
        <v>75</v>
      </c>
      <c r="C282">
        <v>7.8768526527242813</v>
      </c>
      <c r="I282">
        <v>2.6653924693843898</v>
      </c>
      <c r="J282">
        <v>3.1557166182194778</v>
      </c>
      <c r="L282">
        <v>15.162959130884634</v>
      </c>
      <c r="Q282">
        <v>2.4314537045843037</v>
      </c>
      <c r="R282">
        <v>39.18184169684428</v>
      </c>
      <c r="U282">
        <v>3.7326600551605198</v>
      </c>
      <c r="V282">
        <v>60.313000000000002</v>
      </c>
    </row>
    <row r="283" spans="1:22" x14ac:dyDescent="0.3">
      <c r="A283" t="s">
        <v>130</v>
      </c>
      <c r="B283" s="2" t="s">
        <v>76</v>
      </c>
      <c r="C283">
        <v>3.4110958495494685</v>
      </c>
      <c r="I283">
        <v>2.6157663651196099</v>
      </c>
      <c r="J283">
        <v>3.2852042656462439</v>
      </c>
      <c r="L283">
        <v>16.182307587024955</v>
      </c>
      <c r="Q283">
        <v>1.8251134924651844</v>
      </c>
      <c r="R283">
        <v>39.792098179661487</v>
      </c>
      <c r="U283">
        <v>4.0742001533508301</v>
      </c>
      <c r="V283">
        <v>61.256</v>
      </c>
    </row>
    <row r="284" spans="1:22" x14ac:dyDescent="0.3">
      <c r="A284" t="s">
        <v>130</v>
      </c>
      <c r="B284" s="2" t="s">
        <v>77</v>
      </c>
      <c r="C284">
        <v>6.4404735329312501</v>
      </c>
      <c r="I284">
        <v>2.4622992593982702</v>
      </c>
      <c r="J284">
        <v>3.7038542879200693</v>
      </c>
      <c r="L284">
        <v>16.34928942388985</v>
      </c>
      <c r="Q284">
        <v>1.5298528648262109</v>
      </c>
      <c r="R284">
        <v>39.734409597809893</v>
      </c>
      <c r="U284">
        <v>4.5563797950744602</v>
      </c>
      <c r="V284">
        <v>62.146999999999998</v>
      </c>
    </row>
    <row r="285" spans="1:22" x14ac:dyDescent="0.3">
      <c r="A285" t="s">
        <v>130</v>
      </c>
      <c r="B285" s="2" t="s">
        <v>78</v>
      </c>
      <c r="C285">
        <v>6.5675211764401666</v>
      </c>
      <c r="I285">
        <v>2.3035829798286702</v>
      </c>
      <c r="J285">
        <v>3.9356555972198906</v>
      </c>
      <c r="L285">
        <v>15.208761122518824</v>
      </c>
      <c r="Q285">
        <v>0.68446185649176428</v>
      </c>
      <c r="R285">
        <v>37.230184804928129</v>
      </c>
      <c r="U285">
        <v>4.7660598754882804</v>
      </c>
      <c r="V285">
        <v>62.929000000000002</v>
      </c>
    </row>
    <row r="286" spans="1:22" x14ac:dyDescent="0.3">
      <c r="A286" t="s">
        <v>130</v>
      </c>
      <c r="B286" s="2" t="s">
        <v>79</v>
      </c>
      <c r="C286">
        <v>7.4187395949798542</v>
      </c>
      <c r="I286">
        <v>2.29330154232813</v>
      </c>
      <c r="J286">
        <v>3.6430657684072867</v>
      </c>
      <c r="K286">
        <v>5.2351598739623997</v>
      </c>
      <c r="L286">
        <v>14.46688320858636</v>
      </c>
      <c r="N286">
        <v>49.02</v>
      </c>
      <c r="Q286">
        <v>2.6828779278403747</v>
      </c>
      <c r="R286">
        <v>37.690185002118341</v>
      </c>
      <c r="U286">
        <v>4.8123698234558097</v>
      </c>
      <c r="V286">
        <v>63.668999999999997</v>
      </c>
    </row>
    <row r="287" spans="1:22" x14ac:dyDescent="0.3">
      <c r="A287" t="s">
        <v>130</v>
      </c>
      <c r="B287" s="2" t="s">
        <v>80</v>
      </c>
      <c r="C287">
        <v>5.5140728290394208</v>
      </c>
      <c r="I287">
        <v>2.2761166524269201</v>
      </c>
      <c r="J287">
        <v>4.2767887115907639</v>
      </c>
      <c r="K287">
        <v>4.8893599510192898</v>
      </c>
      <c r="L287">
        <v>14.793368572801539</v>
      </c>
      <c r="Q287">
        <v>3.5079277034687495</v>
      </c>
      <c r="R287">
        <v>42.194834214320039</v>
      </c>
      <c r="U287">
        <v>4.9101700782775897</v>
      </c>
      <c r="V287">
        <v>64.373999999999995</v>
      </c>
    </row>
    <row r="288" spans="1:22" x14ac:dyDescent="0.3">
      <c r="A288" t="s">
        <v>130</v>
      </c>
      <c r="B288" s="2" t="s">
        <v>81</v>
      </c>
      <c r="C288">
        <v>-0.49373760402227163</v>
      </c>
      <c r="I288">
        <v>2.2004080016230501</v>
      </c>
      <c r="J288">
        <v>4.5791318808258339</v>
      </c>
      <c r="K288">
        <v>5.28604984283447</v>
      </c>
      <c r="L288">
        <v>16.522354508367329</v>
      </c>
      <c r="Q288">
        <v>4.1836614395045233</v>
      </c>
      <c r="R288">
        <v>45.93060527849471</v>
      </c>
      <c r="U288">
        <v>4.8785500526428196</v>
      </c>
      <c r="V288">
        <v>65.010000000000005</v>
      </c>
    </row>
    <row r="289" spans="1:23" x14ac:dyDescent="0.3">
      <c r="A289" t="s">
        <v>130</v>
      </c>
      <c r="B289" s="2" t="s">
        <v>82</v>
      </c>
      <c r="C289">
        <v>4.6819173852731097</v>
      </c>
      <c r="I289">
        <v>2.0793387011362299</v>
      </c>
      <c r="J289">
        <v>4.3047956742082585</v>
      </c>
      <c r="K289">
        <v>5.4576301574706996</v>
      </c>
      <c r="L289">
        <v>16.919249836805985</v>
      </c>
      <c r="Q289">
        <v>2.2053256215426305</v>
      </c>
      <c r="R289">
        <v>47.187893650429594</v>
      </c>
      <c r="U289">
        <v>4.8641300201415998</v>
      </c>
      <c r="V289">
        <v>65.695999999999998</v>
      </c>
    </row>
    <row r="290" spans="1:23" x14ac:dyDescent="0.3">
      <c r="A290" t="s">
        <v>130</v>
      </c>
      <c r="B290" s="2" t="s">
        <v>83</v>
      </c>
      <c r="C290">
        <v>5.7488432625296895</v>
      </c>
      <c r="I290">
        <v>2.3294568364759902</v>
      </c>
      <c r="J290">
        <v>3.8363156731049344</v>
      </c>
      <c r="K290">
        <v>5.5174498558044398</v>
      </c>
      <c r="L290">
        <v>16.87043852535712</v>
      </c>
      <c r="N290">
        <v>50.77</v>
      </c>
      <c r="Q290">
        <v>1.3723405010146366</v>
      </c>
      <c r="R290">
        <v>47.159300729835941</v>
      </c>
      <c r="U290">
        <v>4.8445601463317898</v>
      </c>
      <c r="V290">
        <v>66.293999999999997</v>
      </c>
      <c r="W290">
        <v>8.9000000000000981</v>
      </c>
    </row>
    <row r="291" spans="1:23" x14ac:dyDescent="0.3">
      <c r="A291" t="s">
        <v>130</v>
      </c>
      <c r="B291" s="2" t="s">
        <v>84</v>
      </c>
      <c r="C291">
        <v>5.648573236598196</v>
      </c>
      <c r="I291">
        <v>2.5956301734970801</v>
      </c>
      <c r="J291">
        <v>3.2201536903506778</v>
      </c>
      <c r="K291">
        <v>5.5397200584411603</v>
      </c>
      <c r="L291">
        <v>17.041163814598978</v>
      </c>
      <c r="Q291">
        <v>1.2823620817564403</v>
      </c>
      <c r="R291">
        <v>49.594346209195962</v>
      </c>
      <c r="U291">
        <v>5.0774998664856001</v>
      </c>
      <c r="V291">
        <v>66.876999999999995</v>
      </c>
      <c r="W291">
        <v>7.2543617998163539</v>
      </c>
    </row>
    <row r="292" spans="1:23" x14ac:dyDescent="0.3">
      <c r="A292" t="s">
        <v>130</v>
      </c>
      <c r="B292" s="2" t="s">
        <v>85</v>
      </c>
      <c r="C292">
        <v>-1.446988414179728</v>
      </c>
      <c r="I292">
        <v>2.5370502967213802</v>
      </c>
      <c r="J292">
        <v>3.8545326221842311</v>
      </c>
      <c r="K292">
        <v>5.8794898986816397</v>
      </c>
      <c r="L292">
        <v>17.775543265739344</v>
      </c>
      <c r="Q292">
        <v>0.7122505627493374</v>
      </c>
      <c r="R292">
        <v>52.181777554326572</v>
      </c>
      <c r="U292">
        <v>5.2684698104858398</v>
      </c>
      <c r="V292">
        <v>67.429000000000002</v>
      </c>
      <c r="W292">
        <v>6.1643835616437057</v>
      </c>
    </row>
    <row r="293" spans="1:23" x14ac:dyDescent="0.3">
      <c r="A293" t="s">
        <v>130</v>
      </c>
      <c r="B293" s="2" t="s">
        <v>86</v>
      </c>
      <c r="C293">
        <v>6.7013710957768922</v>
      </c>
      <c r="I293">
        <v>2.46513393039272</v>
      </c>
      <c r="J293">
        <v>4.7291298025298873</v>
      </c>
      <c r="L293">
        <v>16.94771819347131</v>
      </c>
      <c r="Q293">
        <v>0.94582596969585897</v>
      </c>
      <c r="R293">
        <v>49.985775266635969</v>
      </c>
      <c r="U293">
        <v>5.0681700706481898</v>
      </c>
      <c r="V293">
        <v>68.010999999999996</v>
      </c>
      <c r="W293">
        <v>8.2258064516129004</v>
      </c>
    </row>
    <row r="294" spans="1:23" x14ac:dyDescent="0.3">
      <c r="A294" t="s">
        <v>130</v>
      </c>
      <c r="B294" s="2" t="s">
        <v>87</v>
      </c>
      <c r="C294">
        <v>7.2159077396420912E-2</v>
      </c>
      <c r="I294">
        <v>2.34022356945689</v>
      </c>
      <c r="J294">
        <v>4.9303734775562109</v>
      </c>
      <c r="L294">
        <v>16.583146664203404</v>
      </c>
      <c r="Q294">
        <v>0.60042017754755816</v>
      </c>
      <c r="R294">
        <v>51.374927834099246</v>
      </c>
      <c r="U294">
        <v>5.3707199096679696</v>
      </c>
      <c r="V294">
        <v>68.456000000000003</v>
      </c>
      <c r="W294">
        <v>7.1969696969695507</v>
      </c>
    </row>
    <row r="295" spans="1:23" x14ac:dyDescent="0.3">
      <c r="A295" t="s">
        <v>130</v>
      </c>
      <c r="B295" s="2" t="s">
        <v>88</v>
      </c>
      <c r="C295">
        <v>1.7466991282435202</v>
      </c>
      <c r="D295">
        <v>16.13</v>
      </c>
      <c r="G295">
        <v>30.83</v>
      </c>
      <c r="I295">
        <v>2.1980160724539899</v>
      </c>
      <c r="J295">
        <v>4.4526020473632641</v>
      </c>
      <c r="L295">
        <v>17.262953732572811</v>
      </c>
      <c r="N295">
        <v>48.09</v>
      </c>
      <c r="Q295">
        <v>0.77164530382740304</v>
      </c>
      <c r="R295">
        <v>58.891907110605942</v>
      </c>
      <c r="U295">
        <v>6.6363000869751003</v>
      </c>
      <c r="V295">
        <v>68.825000000000003</v>
      </c>
      <c r="W295">
        <v>7.7408860396133603</v>
      </c>
    </row>
    <row r="296" spans="1:23" x14ac:dyDescent="0.3">
      <c r="A296" t="s">
        <v>130</v>
      </c>
      <c r="B296" s="2" t="s">
        <v>89</v>
      </c>
      <c r="C296">
        <v>7.9498194366546073</v>
      </c>
      <c r="I296">
        <v>2.0982467653988701</v>
      </c>
      <c r="J296">
        <v>4.4834675821999497</v>
      </c>
      <c r="K296">
        <v>5.7908601760864302</v>
      </c>
      <c r="L296">
        <v>16.356777647309002</v>
      </c>
      <c r="M296">
        <v>2547966</v>
      </c>
      <c r="O296">
        <v>0</v>
      </c>
      <c r="Q296">
        <v>0.62990867219009816</v>
      </c>
      <c r="R296">
        <v>55.076333478184495</v>
      </c>
      <c r="T296">
        <v>-17.528893780957631</v>
      </c>
      <c r="U296">
        <v>7.6366701126098597</v>
      </c>
      <c r="V296">
        <v>69.091999999999999</v>
      </c>
      <c r="W296">
        <v>6.5452930728241432</v>
      </c>
    </row>
    <row r="297" spans="1:23" x14ac:dyDescent="0.3">
      <c r="A297" t="s">
        <v>130</v>
      </c>
      <c r="B297" s="2" t="s">
        <v>90</v>
      </c>
      <c r="C297">
        <v>3.9045453031319823</v>
      </c>
      <c r="F297">
        <v>17.373999999999999</v>
      </c>
      <c r="H297">
        <v>27.068000000000001</v>
      </c>
      <c r="I297">
        <v>2.1077026427996102</v>
      </c>
      <c r="J297">
        <v>4.01184006953312</v>
      </c>
      <c r="K297">
        <v>6.0274701118469203</v>
      </c>
      <c r="L297">
        <v>16.571062782654959</v>
      </c>
      <c r="M297">
        <v>2629038</v>
      </c>
      <c r="Q297">
        <v>0.95953282864087819</v>
      </c>
      <c r="R297">
        <v>53.757332402234638</v>
      </c>
      <c r="T297">
        <v>-31.456303106825565</v>
      </c>
      <c r="U297">
        <v>8.3627595901489293</v>
      </c>
      <c r="V297">
        <v>69.397999999999996</v>
      </c>
      <c r="W297">
        <v>8.1937150954408526</v>
      </c>
    </row>
    <row r="298" spans="1:23" x14ac:dyDescent="0.3">
      <c r="A298" t="s">
        <v>130</v>
      </c>
      <c r="B298" s="2" t="s">
        <v>91</v>
      </c>
      <c r="C298">
        <v>7.8057288772239701</v>
      </c>
      <c r="F298">
        <v>17.062000000000001</v>
      </c>
      <c r="H298">
        <v>26.972999999999999</v>
      </c>
      <c r="I298">
        <v>2.1029806149352401</v>
      </c>
      <c r="J298">
        <v>3.4292037652650551</v>
      </c>
      <c r="K298">
        <v>5.7548899650573704</v>
      </c>
      <c r="L298">
        <v>16.001254943162749</v>
      </c>
      <c r="M298">
        <v>2709741</v>
      </c>
      <c r="Q298">
        <v>3.392722969447544</v>
      </c>
      <c r="R298">
        <v>54.004720629222668</v>
      </c>
      <c r="T298">
        <v>-25.724205653363253</v>
      </c>
      <c r="U298">
        <v>9.2115297317504901</v>
      </c>
      <c r="V298">
        <v>69.683999999999997</v>
      </c>
      <c r="W298">
        <v>5.8243451463790636</v>
      </c>
    </row>
    <row r="299" spans="1:23" x14ac:dyDescent="0.3">
      <c r="A299" t="s">
        <v>130</v>
      </c>
      <c r="B299" s="2" t="s">
        <v>92</v>
      </c>
      <c r="C299">
        <v>2.1898288614582384</v>
      </c>
      <c r="F299">
        <v>17.373000000000001</v>
      </c>
      <c r="H299">
        <v>27.536000000000001</v>
      </c>
      <c r="I299">
        <v>1.9999957416774401</v>
      </c>
      <c r="J299">
        <v>3.0553103281037797</v>
      </c>
      <c r="K299">
        <v>5.9837698936462402</v>
      </c>
      <c r="L299">
        <v>16.257927436404557</v>
      </c>
      <c r="M299">
        <v>2794283</v>
      </c>
      <c r="Q299">
        <v>3.8464174268511675</v>
      </c>
      <c r="R299">
        <v>53.926236104480665</v>
      </c>
      <c r="T299">
        <v>-6.9031211998378836</v>
      </c>
      <c r="U299">
        <v>10.3985395431519</v>
      </c>
      <c r="V299">
        <v>69.992000000000004</v>
      </c>
      <c r="W299">
        <v>3.9749563191613011</v>
      </c>
    </row>
    <row r="300" spans="1:23" x14ac:dyDescent="0.3">
      <c r="A300" t="s">
        <v>130</v>
      </c>
      <c r="B300" s="2" t="s">
        <v>93</v>
      </c>
      <c r="C300">
        <v>3.178411322094405</v>
      </c>
      <c r="F300">
        <v>17.420999999999999</v>
      </c>
      <c r="H300">
        <v>27.785</v>
      </c>
      <c r="I300">
        <v>1.7961412043573399</v>
      </c>
      <c r="J300">
        <v>4.0218030028328071</v>
      </c>
      <c r="K300">
        <v>6.1764698028564498</v>
      </c>
      <c r="L300">
        <v>16.328776132238932</v>
      </c>
      <c r="M300">
        <v>2876850</v>
      </c>
      <c r="N300">
        <v>48.41</v>
      </c>
      <c r="O300">
        <v>7.3800000000000003E-3</v>
      </c>
      <c r="Q300">
        <v>2.763408718958003</v>
      </c>
      <c r="R300">
        <v>53.813922017478397</v>
      </c>
      <c r="T300">
        <v>4.3759271915057152</v>
      </c>
      <c r="U300">
        <v>11.024609565734901</v>
      </c>
      <c r="V300">
        <v>70.363</v>
      </c>
      <c r="W300">
        <v>4.7332306399659547</v>
      </c>
    </row>
    <row r="301" spans="1:23" x14ac:dyDescent="0.3">
      <c r="A301" t="s">
        <v>130</v>
      </c>
      <c r="B301" s="2" t="s">
        <v>94</v>
      </c>
      <c r="C301">
        <v>2.3516698508654059</v>
      </c>
      <c r="F301">
        <v>17.721</v>
      </c>
      <c r="H301">
        <v>28.643999999999998</v>
      </c>
      <c r="I301">
        <v>1.5711248314925299</v>
      </c>
      <c r="J301">
        <v>3.7706635417697294</v>
      </c>
      <c r="K301">
        <v>6.4297599792480504</v>
      </c>
      <c r="L301">
        <v>16.289189411088564</v>
      </c>
      <c r="M301">
        <v>2955693</v>
      </c>
      <c r="O301">
        <v>1.12E-2</v>
      </c>
      <c r="Q301">
        <v>1.5305492758971977</v>
      </c>
      <c r="R301">
        <v>54.386170374975073</v>
      </c>
      <c r="T301">
        <v>2.0621780418359896</v>
      </c>
      <c r="U301">
        <v>11.4788904190063</v>
      </c>
      <c r="V301">
        <v>70.784999999999997</v>
      </c>
      <c r="W301">
        <v>6.2441502874714638</v>
      </c>
    </row>
    <row r="302" spans="1:23" x14ac:dyDescent="0.3">
      <c r="A302" t="s">
        <v>130</v>
      </c>
      <c r="B302" s="2" t="s">
        <v>95</v>
      </c>
      <c r="C302">
        <v>7.146080967820609</v>
      </c>
      <c r="F302">
        <v>17.46</v>
      </c>
      <c r="H302">
        <v>28.747</v>
      </c>
      <c r="I302">
        <v>1.4432005682761599</v>
      </c>
      <c r="J302">
        <v>3.7553156869104836</v>
      </c>
      <c r="K302">
        <v>6.2878098487854004</v>
      </c>
      <c r="L302">
        <v>15.550998358360038</v>
      </c>
      <c r="M302">
        <v>3034707</v>
      </c>
      <c r="O302">
        <v>2.76E-2</v>
      </c>
      <c r="Q302">
        <v>1.2168062002279774</v>
      </c>
      <c r="R302">
        <v>49.157623660594872</v>
      </c>
      <c r="T302">
        <v>-0.53572764094828085</v>
      </c>
      <c r="U302">
        <v>12.3348503112793</v>
      </c>
      <c r="V302">
        <v>71.247</v>
      </c>
      <c r="W302">
        <v>3.7251447269071538</v>
      </c>
    </row>
    <row r="303" spans="1:23" x14ac:dyDescent="0.3">
      <c r="A303" t="s">
        <v>130</v>
      </c>
      <c r="B303" s="2" t="s">
        <v>96</v>
      </c>
      <c r="C303">
        <v>5.4409435010746705</v>
      </c>
      <c r="D303">
        <v>15.94</v>
      </c>
      <c r="F303">
        <v>17.344999999999999</v>
      </c>
      <c r="G303">
        <v>31.85</v>
      </c>
      <c r="H303">
        <v>29.055</v>
      </c>
      <c r="I303">
        <v>1.3554387850260501</v>
      </c>
      <c r="J303">
        <v>3.2994228049530774</v>
      </c>
      <c r="K303">
        <v>6.6790299415588397</v>
      </c>
      <c r="L303">
        <v>16.337595997105922</v>
      </c>
      <c r="M303">
        <v>3114488</v>
      </c>
      <c r="N303">
        <v>48.63</v>
      </c>
      <c r="O303">
        <v>4.3700000000000003E-2</v>
      </c>
      <c r="Q303">
        <v>1.6518906777770335</v>
      </c>
      <c r="R303">
        <v>45.938221885160871</v>
      </c>
      <c r="T303">
        <v>0.57894576152163868</v>
      </c>
      <c r="U303">
        <v>13.0872402191162</v>
      </c>
      <c r="V303">
        <v>71.67</v>
      </c>
      <c r="W303">
        <v>3.652026207230707</v>
      </c>
    </row>
    <row r="304" spans="1:23" x14ac:dyDescent="0.3">
      <c r="A304" t="s">
        <v>130</v>
      </c>
      <c r="B304" s="2" t="s">
        <v>97</v>
      </c>
      <c r="C304">
        <v>4.7837624782566479</v>
      </c>
      <c r="F304">
        <v>16.87</v>
      </c>
      <c r="H304">
        <v>28.417000000000002</v>
      </c>
      <c r="I304">
        <v>1.2698309106947301</v>
      </c>
      <c r="J304">
        <v>3.2947336622696612</v>
      </c>
      <c r="L304">
        <v>16.428557043600847</v>
      </c>
      <c r="M304">
        <v>3166879</v>
      </c>
      <c r="O304">
        <v>0.108</v>
      </c>
      <c r="Q304">
        <v>2.9845936965058892</v>
      </c>
      <c r="R304">
        <v>46.489900312153857</v>
      </c>
      <c r="T304">
        <v>-0.92789389095660457</v>
      </c>
      <c r="U304">
        <v>14.4664297103882</v>
      </c>
      <c r="V304">
        <v>72.066999999999993</v>
      </c>
      <c r="W304">
        <v>3.1253657965586239</v>
      </c>
    </row>
    <row r="305" spans="1:23" x14ac:dyDescent="0.3">
      <c r="A305" t="s">
        <v>130</v>
      </c>
      <c r="B305" s="2" t="s">
        <v>98</v>
      </c>
      <c r="C305">
        <v>6.0546344789815834</v>
      </c>
      <c r="D305">
        <v>15.21</v>
      </c>
      <c r="F305">
        <v>16.579000000000001</v>
      </c>
      <c r="H305">
        <v>28.007000000000001</v>
      </c>
      <c r="I305">
        <v>1.1907443832681801</v>
      </c>
      <c r="J305">
        <v>3.3179256167373348</v>
      </c>
      <c r="K305">
        <v>6.2709898948669398</v>
      </c>
      <c r="L305">
        <v>16.274737468676285</v>
      </c>
      <c r="M305">
        <v>3218934</v>
      </c>
      <c r="O305">
        <v>1.6</v>
      </c>
      <c r="Q305">
        <v>1.5138265272378508</v>
      </c>
      <c r="R305">
        <v>46.488106173619734</v>
      </c>
      <c r="T305">
        <v>8.5110635357245403</v>
      </c>
      <c r="U305">
        <v>16.054599761962901</v>
      </c>
      <c r="V305">
        <v>72.343999999999994</v>
      </c>
      <c r="W305">
        <v>2.6901248581158042</v>
      </c>
    </row>
    <row r="306" spans="1:23" x14ac:dyDescent="0.3">
      <c r="A306" t="s">
        <v>130</v>
      </c>
      <c r="B306" s="2" t="s">
        <v>99</v>
      </c>
      <c r="C306">
        <v>4.7099729138049042</v>
      </c>
      <c r="D306">
        <v>14.94</v>
      </c>
      <c r="F306">
        <v>16.108000000000001</v>
      </c>
      <c r="H306">
        <v>27.277000000000001</v>
      </c>
      <c r="I306">
        <v>1.12222559070037</v>
      </c>
      <c r="J306">
        <v>3.7066724696508624</v>
      </c>
      <c r="K306">
        <v>6.2019600868225098</v>
      </c>
      <c r="L306">
        <v>16.671196667731216</v>
      </c>
      <c r="M306">
        <v>3270136</v>
      </c>
      <c r="O306">
        <v>2.75074</v>
      </c>
      <c r="Q306">
        <v>3.4960274713755588</v>
      </c>
      <c r="R306">
        <v>53.397806573484544</v>
      </c>
      <c r="T306">
        <v>11.133847406046641</v>
      </c>
      <c r="U306">
        <v>18.247270584106399</v>
      </c>
      <c r="V306">
        <v>72.603999999999999</v>
      </c>
      <c r="W306">
        <v>2.962307947386055</v>
      </c>
    </row>
    <row r="307" spans="1:23" x14ac:dyDescent="0.3">
      <c r="A307" t="s">
        <v>130</v>
      </c>
      <c r="B307" s="2" t="s">
        <v>100</v>
      </c>
      <c r="C307">
        <v>3.79627166202512</v>
      </c>
      <c r="D307">
        <v>14.4</v>
      </c>
      <c r="F307">
        <v>15.565</v>
      </c>
      <c r="H307">
        <v>26.404</v>
      </c>
      <c r="I307">
        <v>1.06692195988269</v>
      </c>
      <c r="J307">
        <v>4.2017377201011872</v>
      </c>
      <c r="K307">
        <v>6.2018499374389604</v>
      </c>
      <c r="L307">
        <v>16.571642768943882</v>
      </c>
      <c r="M307">
        <v>3319983</v>
      </c>
      <c r="O307">
        <v>4.2979700000000003</v>
      </c>
      <c r="Q307">
        <v>2.0462169750189108</v>
      </c>
      <c r="R307">
        <v>49.596913794949977</v>
      </c>
      <c r="T307">
        <v>21.359397695211719</v>
      </c>
      <c r="U307">
        <v>20.596340179443398</v>
      </c>
      <c r="V307">
        <v>72.822000000000003</v>
      </c>
      <c r="W307">
        <v>1.9833333333333689</v>
      </c>
    </row>
    <row r="308" spans="1:23" x14ac:dyDescent="0.3">
      <c r="A308" t="s">
        <v>130</v>
      </c>
      <c r="B308" s="2" t="s">
        <v>101</v>
      </c>
      <c r="C308">
        <v>1.3225571482894622</v>
      </c>
      <c r="D308">
        <v>14.55</v>
      </c>
      <c r="F308">
        <v>15.741</v>
      </c>
      <c r="H308">
        <v>26.678999999999998</v>
      </c>
      <c r="I308">
        <v>1.0265400817922501</v>
      </c>
      <c r="J308">
        <v>4.6250581839839278</v>
      </c>
      <c r="K308">
        <v>5.79006004333496</v>
      </c>
      <c r="L308">
        <v>17.226727292621547</v>
      </c>
      <c r="M308">
        <v>3367629</v>
      </c>
      <c r="O308">
        <v>5.2528899999999998</v>
      </c>
      <c r="Q308">
        <v>3.4150722057727263</v>
      </c>
      <c r="R308">
        <v>50.610473186388347</v>
      </c>
      <c r="T308">
        <v>20.193835884395376</v>
      </c>
      <c r="U308">
        <v>22.057090759277301</v>
      </c>
      <c r="V308">
        <v>73.069999999999993</v>
      </c>
      <c r="W308">
        <v>2.7210328485045481</v>
      </c>
    </row>
    <row r="309" spans="1:23" x14ac:dyDescent="0.3">
      <c r="A309" t="s">
        <v>130</v>
      </c>
      <c r="B309" s="2" t="s">
        <v>102</v>
      </c>
      <c r="C309">
        <v>4.7023995328524109</v>
      </c>
      <c r="D309">
        <v>14.51</v>
      </c>
      <c r="F309">
        <v>16.207000000000001</v>
      </c>
      <c r="H309">
        <v>27.513999999999999</v>
      </c>
      <c r="I309">
        <v>0.99902308432549103</v>
      </c>
      <c r="J309">
        <v>4.5540114641839562</v>
      </c>
      <c r="K309">
        <v>6.81675004959106</v>
      </c>
      <c r="L309">
        <v>17.201157938778511</v>
      </c>
      <c r="M309">
        <v>3412860</v>
      </c>
      <c r="N309">
        <v>33.200000000000003</v>
      </c>
      <c r="O309">
        <v>6.49085</v>
      </c>
      <c r="Q309">
        <v>1.9650464763512707</v>
      </c>
      <c r="R309">
        <v>49.512709856614613</v>
      </c>
      <c r="T309">
        <v>24.904728614139749</v>
      </c>
      <c r="U309">
        <v>25.974290847778299</v>
      </c>
      <c r="V309">
        <v>73.304000000000002</v>
      </c>
      <c r="W309">
        <v>2.7125924747435168</v>
      </c>
    </row>
    <row r="310" spans="1:23" x14ac:dyDescent="0.3">
      <c r="A310" t="s">
        <v>130</v>
      </c>
      <c r="B310" s="2" t="s">
        <v>103</v>
      </c>
      <c r="C310">
        <v>6.2357907222264686</v>
      </c>
      <c r="D310">
        <v>14.23</v>
      </c>
      <c r="F310">
        <v>16.314</v>
      </c>
      <c r="H310">
        <v>27.797999999999998</v>
      </c>
      <c r="I310">
        <v>0.93420935939732497</v>
      </c>
      <c r="J310">
        <v>4.5900343141908451</v>
      </c>
      <c r="K310">
        <v>6.7207899093627903</v>
      </c>
      <c r="L310">
        <v>16.922383717187842</v>
      </c>
      <c r="M310">
        <v>3455889</v>
      </c>
      <c r="O310">
        <v>8.5288199999999996</v>
      </c>
      <c r="Q310">
        <v>1.89888949723214</v>
      </c>
      <c r="R310">
        <v>49.549918493247681</v>
      </c>
      <c r="T310">
        <v>23.558411360006211</v>
      </c>
      <c r="U310">
        <v>28.322050094604499</v>
      </c>
      <c r="V310">
        <v>73.519000000000005</v>
      </c>
      <c r="W310">
        <v>3.6322800495662508</v>
      </c>
    </row>
    <row r="311" spans="1:23" x14ac:dyDescent="0.3">
      <c r="A311" t="s">
        <v>130</v>
      </c>
      <c r="B311" s="2" t="s">
        <v>5</v>
      </c>
      <c r="C311">
        <v>3.4865455430439027</v>
      </c>
      <c r="D311">
        <v>12.872</v>
      </c>
      <c r="F311">
        <v>15.173</v>
      </c>
      <c r="G311">
        <v>28.186</v>
      </c>
      <c r="H311">
        <v>25.954999999999998</v>
      </c>
      <c r="I311">
        <v>0.87465640593305105</v>
      </c>
      <c r="J311">
        <v>4.3153961829804857</v>
      </c>
      <c r="K311">
        <v>6.4515700340270996</v>
      </c>
      <c r="L311">
        <v>16.919347519763082</v>
      </c>
      <c r="M311">
        <v>3495960</v>
      </c>
      <c r="N311">
        <v>45.499000000000002</v>
      </c>
      <c r="O311">
        <v>9.6550899999999995</v>
      </c>
      <c r="Q311">
        <v>2.2084491949759628</v>
      </c>
      <c r="R311">
        <v>49.997816474409497</v>
      </c>
      <c r="T311">
        <v>21.248068383531511</v>
      </c>
      <c r="U311">
        <v>30.426349639892599</v>
      </c>
      <c r="V311">
        <v>73.712000000000003</v>
      </c>
      <c r="W311">
        <v>2.0177864135714429</v>
      </c>
    </row>
    <row r="312" spans="1:23" x14ac:dyDescent="0.3">
      <c r="A312" t="s">
        <v>130</v>
      </c>
      <c r="B312" s="2" t="s">
        <v>6</v>
      </c>
      <c r="C312">
        <v>5.2440998324691606</v>
      </c>
      <c r="D312">
        <v>12.51</v>
      </c>
      <c r="F312">
        <v>15.159000000000001</v>
      </c>
      <c r="G312">
        <v>27.657</v>
      </c>
      <c r="H312">
        <v>26.960999999999999</v>
      </c>
      <c r="I312">
        <v>0.88281828444010002</v>
      </c>
      <c r="J312">
        <v>4.3926287585070227</v>
      </c>
      <c r="K312">
        <v>6.4387998580932599</v>
      </c>
      <c r="L312">
        <v>16.708992442554234</v>
      </c>
      <c r="M312">
        <v>3585831</v>
      </c>
      <c r="N312">
        <v>45.637</v>
      </c>
      <c r="O312">
        <v>12.9864</v>
      </c>
      <c r="Q312">
        <v>9.4247336972912876</v>
      </c>
      <c r="R312">
        <v>48.535973572763915</v>
      </c>
      <c r="T312">
        <v>27.251021237928658</v>
      </c>
      <c r="U312">
        <v>31.5884609222412</v>
      </c>
      <c r="V312">
        <v>73.888000000000005</v>
      </c>
      <c r="W312">
        <v>3.2252533743891658</v>
      </c>
    </row>
    <row r="313" spans="1:23" x14ac:dyDescent="0.3">
      <c r="A313" t="s">
        <v>130</v>
      </c>
      <c r="B313" s="2" t="s">
        <v>7</v>
      </c>
      <c r="C313">
        <v>6.7095209745355362</v>
      </c>
      <c r="D313">
        <v>12.365</v>
      </c>
      <c r="F313">
        <v>15.173</v>
      </c>
      <c r="G313">
        <v>27.873000000000001</v>
      </c>
      <c r="H313">
        <v>26.760999999999999</v>
      </c>
      <c r="I313">
        <v>0.916799634880203</v>
      </c>
      <c r="J313">
        <v>4.4089471028103562</v>
      </c>
      <c r="K313">
        <v>6.4645199775695801</v>
      </c>
      <c r="L313">
        <v>16.641097373883223</v>
      </c>
      <c r="M313">
        <v>3653322</v>
      </c>
      <c r="N313">
        <v>45.859000000000002</v>
      </c>
      <c r="O313">
        <v>17.100000000000001</v>
      </c>
      <c r="Q313">
        <v>3.893951598602182</v>
      </c>
      <c r="R313">
        <v>47.9532263279688</v>
      </c>
      <c r="T313">
        <v>15.437965172039297</v>
      </c>
      <c r="U313">
        <v>32.141681671142599</v>
      </c>
      <c r="V313">
        <v>74.039000000000001</v>
      </c>
      <c r="W313">
        <v>2.9669443247734888</v>
      </c>
    </row>
    <row r="314" spans="1:23" x14ac:dyDescent="0.3">
      <c r="A314" t="s">
        <v>130</v>
      </c>
      <c r="B314" s="2" t="s">
        <v>8</v>
      </c>
      <c r="C314">
        <v>4.2377814750281857</v>
      </c>
      <c r="D314">
        <v>12.444000000000001</v>
      </c>
      <c r="F314">
        <v>15.957000000000001</v>
      </c>
      <c r="G314">
        <v>28.390999999999998</v>
      </c>
      <c r="H314">
        <v>27.806999999999999</v>
      </c>
      <c r="I314">
        <v>0.96199158814355901</v>
      </c>
      <c r="J314">
        <v>4.4070194216873073</v>
      </c>
      <c r="K314">
        <v>6.2715702056884801</v>
      </c>
      <c r="L314">
        <v>16.132592287039653</v>
      </c>
      <c r="M314">
        <v>3722463</v>
      </c>
      <c r="N314">
        <v>46.165999999999997</v>
      </c>
      <c r="O314">
        <v>27.53</v>
      </c>
      <c r="P314">
        <v>5.5570613097715462</v>
      </c>
      <c r="Q314">
        <v>5.7973861960075483</v>
      </c>
      <c r="R314">
        <v>48.456007888405225</v>
      </c>
      <c r="T314">
        <v>23.514420701972153</v>
      </c>
      <c r="U314">
        <v>33.582748413085902</v>
      </c>
      <c r="V314">
        <v>74.191999999999993</v>
      </c>
      <c r="W314">
        <v>4.3450280762304523</v>
      </c>
    </row>
    <row r="315" spans="1:23" x14ac:dyDescent="0.3">
      <c r="A315" t="s">
        <v>130</v>
      </c>
      <c r="B315" s="2" t="s">
        <v>9</v>
      </c>
      <c r="C315">
        <v>3.043450123715516</v>
      </c>
      <c r="D315">
        <v>13.29</v>
      </c>
      <c r="F315">
        <v>18.814</v>
      </c>
      <c r="G315">
        <v>30.893999999999998</v>
      </c>
      <c r="H315">
        <v>30.515999999999998</v>
      </c>
      <c r="I315">
        <v>1.01963219046734</v>
      </c>
      <c r="J315">
        <v>4.5206656077658645</v>
      </c>
      <c r="K315">
        <v>6.5284800529479998</v>
      </c>
      <c r="L315">
        <v>16.63116167778967</v>
      </c>
      <c r="M315">
        <v>3800334</v>
      </c>
      <c r="N315">
        <v>46.511000000000003</v>
      </c>
      <c r="O315">
        <v>34.07</v>
      </c>
      <c r="P315">
        <v>6.8375772048391212</v>
      </c>
      <c r="Q315">
        <v>3.5098811804244194</v>
      </c>
      <c r="R315">
        <v>49.927236039858755</v>
      </c>
      <c r="T315">
        <v>19.068418705685104</v>
      </c>
      <c r="U315">
        <v>35.308181762695298</v>
      </c>
      <c r="V315">
        <v>74.319999999999993</v>
      </c>
      <c r="W315">
        <v>3.664903306429192</v>
      </c>
    </row>
    <row r="316" spans="1:23" x14ac:dyDescent="0.3">
      <c r="A316" t="s">
        <v>130</v>
      </c>
      <c r="B316" s="2" t="s">
        <v>10</v>
      </c>
      <c r="C316">
        <v>2.9711327506651202</v>
      </c>
      <c r="D316">
        <v>13.048999999999999</v>
      </c>
      <c r="F316">
        <v>18.986999999999998</v>
      </c>
      <c r="G316">
        <v>29.393999999999998</v>
      </c>
      <c r="H316">
        <v>32.686</v>
      </c>
      <c r="I316">
        <v>1.0767328663775699</v>
      </c>
      <c r="J316">
        <v>4.4654169829178985</v>
      </c>
      <c r="K316">
        <v>5.9630699157714799</v>
      </c>
      <c r="L316">
        <v>15.153644726139035</v>
      </c>
      <c r="M316">
        <v>3870527</v>
      </c>
      <c r="N316">
        <v>46.892000000000003</v>
      </c>
      <c r="O316">
        <v>36.799999999999997</v>
      </c>
      <c r="P316">
        <v>8.0020392575064925</v>
      </c>
      <c r="Q316">
        <v>2.8881423175898142</v>
      </c>
      <c r="R316">
        <v>52.20073232035066</v>
      </c>
      <c r="T316">
        <v>20.132780853557914</v>
      </c>
      <c r="U316">
        <v>36.042530059814503</v>
      </c>
      <c r="V316">
        <v>74.438000000000002</v>
      </c>
      <c r="W316">
        <v>3.3389796360106878</v>
      </c>
    </row>
    <row r="317" spans="1:23" x14ac:dyDescent="0.3">
      <c r="A317" t="s">
        <v>130</v>
      </c>
      <c r="B317" s="2" t="s">
        <v>11</v>
      </c>
      <c r="C317">
        <v>-2.046633895356436</v>
      </c>
      <c r="D317">
        <v>18.334</v>
      </c>
      <c r="F317">
        <v>27.443000000000001</v>
      </c>
      <c r="G317">
        <v>42.267000000000003</v>
      </c>
      <c r="H317">
        <v>45.365000000000002</v>
      </c>
      <c r="I317">
        <v>1.1089612708677099</v>
      </c>
      <c r="J317">
        <v>4.1653372122150332</v>
      </c>
      <c r="L317">
        <v>16.431096340512966</v>
      </c>
      <c r="M317">
        <v>3932836</v>
      </c>
      <c r="N317">
        <v>47.192999999999998</v>
      </c>
      <c r="O317">
        <v>39.1</v>
      </c>
      <c r="P317">
        <v>8.3021480738895068</v>
      </c>
      <c r="Q317">
        <v>0.89907753498003928</v>
      </c>
      <c r="R317">
        <v>57.889053996219772</v>
      </c>
      <c r="T317">
        <v>25.565583370998361</v>
      </c>
      <c r="U317">
        <v>35.942798614502003</v>
      </c>
      <c r="V317">
        <v>74.471000000000004</v>
      </c>
      <c r="W317">
        <v>3.2400284200953098</v>
      </c>
    </row>
    <row r="318" spans="1:23" x14ac:dyDescent="0.3">
      <c r="A318" t="s">
        <v>130</v>
      </c>
      <c r="B318" s="2" t="s">
        <v>12</v>
      </c>
      <c r="C318">
        <v>4.216677115356319</v>
      </c>
      <c r="D318">
        <v>17.63</v>
      </c>
      <c r="F318">
        <v>25.672999999999998</v>
      </c>
      <c r="G318">
        <v>37.627000000000002</v>
      </c>
      <c r="H318">
        <v>42.128</v>
      </c>
      <c r="I318">
        <v>1.12911133130148</v>
      </c>
      <c r="J318">
        <v>4.7889388841212082</v>
      </c>
      <c r="K318">
        <v>5.9508600234985396</v>
      </c>
      <c r="L318">
        <v>16.656985085654973</v>
      </c>
      <c r="M318">
        <v>4026524</v>
      </c>
      <c r="N318">
        <v>47.776000000000003</v>
      </c>
      <c r="O318">
        <v>41.441600000000001</v>
      </c>
      <c r="P318">
        <v>7.0423603084726327</v>
      </c>
      <c r="Q318">
        <v>3.2851893396328338</v>
      </c>
      <c r="R318">
        <v>57.808900768814794</v>
      </c>
      <c r="T318">
        <v>29.382199490161128</v>
      </c>
      <c r="U318">
        <v>36.069309234619098</v>
      </c>
      <c r="V318">
        <v>74.599000000000004</v>
      </c>
      <c r="W318">
        <v>4.6118443220663972</v>
      </c>
    </row>
    <row r="319" spans="1:23" x14ac:dyDescent="0.3">
      <c r="A319" t="s">
        <v>130</v>
      </c>
      <c r="B319" s="2" t="s">
        <v>13</v>
      </c>
      <c r="C319">
        <v>2.4299309644642904</v>
      </c>
      <c r="D319">
        <v>15.933999999999999</v>
      </c>
      <c r="F319">
        <v>23.056000000000001</v>
      </c>
      <c r="G319">
        <v>34.74</v>
      </c>
      <c r="H319">
        <v>37.511000000000003</v>
      </c>
      <c r="I319">
        <v>1.18925109300243</v>
      </c>
      <c r="J319">
        <v>4.7047167744191665</v>
      </c>
      <c r="L319">
        <v>17.30276166539397</v>
      </c>
      <c r="M319">
        <v>4026064</v>
      </c>
      <c r="N319">
        <v>47.423999999999999</v>
      </c>
      <c r="O319">
        <v>43.8</v>
      </c>
      <c r="P319">
        <v>6.4217360517058744</v>
      </c>
      <c r="Q319">
        <v>2.1744128074391957</v>
      </c>
      <c r="R319">
        <v>57.917233816180605</v>
      </c>
      <c r="T319">
        <v>33.200005498055063</v>
      </c>
      <c r="U319">
        <v>34.213008880615199</v>
      </c>
      <c r="V319">
        <v>74.674000000000007</v>
      </c>
      <c r="W319">
        <v>5.3162353132668887</v>
      </c>
    </row>
    <row r="320" spans="1:23" x14ac:dyDescent="0.3">
      <c r="A320" t="s">
        <v>130</v>
      </c>
      <c r="B320" s="2" t="s">
        <v>14</v>
      </c>
      <c r="C320">
        <v>3.0903280307077523</v>
      </c>
      <c r="D320">
        <v>14.259</v>
      </c>
      <c r="F320">
        <v>21.57</v>
      </c>
      <c r="G320">
        <v>36.789000000000001</v>
      </c>
      <c r="H320">
        <v>39.969000000000001</v>
      </c>
      <c r="I320">
        <v>1.18603354474404</v>
      </c>
      <c r="J320">
        <v>4.6678664998148465</v>
      </c>
      <c r="L320">
        <v>17.328215295060531</v>
      </c>
      <c r="M320">
        <v>4050207</v>
      </c>
      <c r="N320">
        <v>41.874000000000002</v>
      </c>
      <c r="O320">
        <v>46.16</v>
      </c>
      <c r="P320">
        <v>6.7654130336188194</v>
      </c>
      <c r="Q320">
        <v>2.0384274686801258</v>
      </c>
      <c r="R320">
        <v>59.76783921920623</v>
      </c>
      <c r="T320">
        <v>39.150723285114189</v>
      </c>
      <c r="U320">
        <v>33.725231170654297</v>
      </c>
      <c r="V320">
        <v>74.784000000000006</v>
      </c>
      <c r="W320">
        <v>4.6255509953403093</v>
      </c>
    </row>
    <row r="321" spans="1:23" x14ac:dyDescent="0.3">
      <c r="A321" t="s">
        <v>130</v>
      </c>
      <c r="B321" s="2" t="s">
        <v>15</v>
      </c>
      <c r="C321">
        <v>0.96783420563598099</v>
      </c>
      <c r="D321">
        <v>15.159000000000001</v>
      </c>
      <c r="F321">
        <v>22.236000000000001</v>
      </c>
      <c r="G321">
        <v>35.037999999999997</v>
      </c>
      <c r="H321">
        <v>37.405999999999999</v>
      </c>
      <c r="I321">
        <v>1.1287197337975601</v>
      </c>
      <c r="J321">
        <v>4.3062419406206045</v>
      </c>
      <c r="K321">
        <v>6.2204499244689897</v>
      </c>
      <c r="L321">
        <v>17.905574696388285</v>
      </c>
      <c r="M321">
        <v>4077612</v>
      </c>
      <c r="N321">
        <v>47.064999999999998</v>
      </c>
      <c r="O321">
        <v>46.5</v>
      </c>
      <c r="P321">
        <v>7.7854297260666838</v>
      </c>
      <c r="Q321">
        <v>2.1199926059717895</v>
      </c>
      <c r="R321">
        <v>60.096593133554634</v>
      </c>
      <c r="T321">
        <v>45.182604490652729</v>
      </c>
      <c r="U321">
        <v>33.373851776122997</v>
      </c>
      <c r="V321">
        <v>74.875</v>
      </c>
      <c r="W321">
        <v>4.4373712732149997</v>
      </c>
    </row>
    <row r="322" spans="1:23" x14ac:dyDescent="0.3">
      <c r="A322" t="s">
        <v>130</v>
      </c>
      <c r="B322" s="2" t="s">
        <v>16</v>
      </c>
      <c r="C322">
        <v>1.1172319639919976</v>
      </c>
      <c r="D322">
        <v>15.557</v>
      </c>
      <c r="F322">
        <v>23.501000000000001</v>
      </c>
      <c r="G322">
        <v>34.895000000000003</v>
      </c>
      <c r="H322">
        <v>38.104999999999997</v>
      </c>
      <c r="I322">
        <v>1.1025391156943301</v>
      </c>
      <c r="J322">
        <v>4.1056004476140355</v>
      </c>
      <c r="L322">
        <v>18.719257316588113</v>
      </c>
      <c r="M322">
        <v>4133705</v>
      </c>
      <c r="N322">
        <v>47.164999999999999</v>
      </c>
      <c r="O322">
        <v>49.6</v>
      </c>
      <c r="P322">
        <v>7.8559675149727699</v>
      </c>
      <c r="Q322">
        <v>1.4034455864099264</v>
      </c>
      <c r="R322">
        <v>62.209164470342728</v>
      </c>
      <c r="T322">
        <v>47.554804607773193</v>
      </c>
      <c r="U322">
        <v>31.212810516357401</v>
      </c>
      <c r="V322">
        <v>75.007000000000005</v>
      </c>
      <c r="W322">
        <v>3.6293993738438082</v>
      </c>
    </row>
    <row r="323" spans="1:23" x14ac:dyDescent="0.3">
      <c r="A323" t="s">
        <v>130</v>
      </c>
      <c r="B323" s="2" t="s">
        <v>17</v>
      </c>
      <c r="C323">
        <v>2.2526143762058695</v>
      </c>
      <c r="D323">
        <v>15.33</v>
      </c>
      <c r="F323">
        <v>22.675999999999998</v>
      </c>
      <c r="G323">
        <v>34.874000000000002</v>
      </c>
      <c r="H323">
        <v>37.5</v>
      </c>
      <c r="I323">
        <v>1.05116025482594</v>
      </c>
      <c r="J323">
        <v>4.4833180572778479</v>
      </c>
      <c r="L323">
        <v>19.124510471858567</v>
      </c>
      <c r="M323">
        <v>4149640</v>
      </c>
      <c r="N323">
        <v>46.975000000000001</v>
      </c>
      <c r="O323">
        <v>55.5002</v>
      </c>
      <c r="P323">
        <v>7.3897525943951399</v>
      </c>
      <c r="Q323">
        <v>1.9233125677006988</v>
      </c>
      <c r="R323">
        <v>64.715905860448089</v>
      </c>
      <c r="T323">
        <v>52.36213842779528</v>
      </c>
      <c r="U323">
        <v>30.927749633789102</v>
      </c>
      <c r="V323">
        <v>75.177000000000007</v>
      </c>
      <c r="W323">
        <v>5.308848395658444</v>
      </c>
    </row>
    <row r="324" spans="1:23" x14ac:dyDescent="0.3">
      <c r="A324" t="s">
        <v>130</v>
      </c>
      <c r="B324" s="2" t="s">
        <v>18</v>
      </c>
      <c r="C324">
        <v>2.606969653563624</v>
      </c>
      <c r="D324">
        <v>15.459</v>
      </c>
      <c r="F324">
        <v>22.773</v>
      </c>
      <c r="H324">
        <v>36.073</v>
      </c>
      <c r="I324">
        <v>0.98237842535626396</v>
      </c>
      <c r="J324">
        <v>3.9799208560650357</v>
      </c>
      <c r="L324">
        <v>18.388023241920422</v>
      </c>
      <c r="M324">
        <v>4284730</v>
      </c>
      <c r="O324">
        <v>64.190799999999996</v>
      </c>
      <c r="P324">
        <v>6.7644999044983205</v>
      </c>
      <c r="Q324">
        <v>2.3224803498441378</v>
      </c>
      <c r="R324">
        <v>63.486594737029968</v>
      </c>
      <c r="T324">
        <v>54.461076282766598</v>
      </c>
      <c r="U324">
        <v>30.959470748901399</v>
      </c>
      <c r="V324">
        <v>75.37</v>
      </c>
      <c r="W324">
        <v>7.3075917603165186</v>
      </c>
    </row>
    <row r="325" spans="1:23" x14ac:dyDescent="0.3">
      <c r="A325" t="s">
        <v>130</v>
      </c>
      <c r="B325" s="2" t="s">
        <v>19</v>
      </c>
      <c r="C325">
        <v>1.5500930496674243</v>
      </c>
      <c r="D325">
        <v>17.152999999999999</v>
      </c>
      <c r="F325">
        <v>25.276</v>
      </c>
      <c r="G325">
        <v>37.920999999999999</v>
      </c>
      <c r="H325">
        <v>38.47</v>
      </c>
      <c r="I325">
        <v>0.92694608173026705</v>
      </c>
      <c r="J325">
        <v>4.2698052184583331</v>
      </c>
      <c r="K325">
        <v>6.17373240410185</v>
      </c>
      <c r="L325">
        <v>18.816485090181047</v>
      </c>
      <c r="M325">
        <v>4418079</v>
      </c>
      <c r="N325">
        <v>48.933999999999997</v>
      </c>
      <c r="O325">
        <v>66.7</v>
      </c>
      <c r="P325">
        <v>6.8858573505552103</v>
      </c>
      <c r="Q325">
        <v>1.9448764995090337</v>
      </c>
      <c r="R325">
        <v>59.255083908424297</v>
      </c>
      <c r="T325">
        <v>57.840137781614231</v>
      </c>
      <c r="U325">
        <v>31.4410896301269</v>
      </c>
      <c r="V325">
        <v>75.599000000000004</v>
      </c>
      <c r="W325">
        <v>6.7200753286379902</v>
      </c>
    </row>
    <row r="326" spans="1:23" x14ac:dyDescent="0.3">
      <c r="A326" t="s">
        <v>130</v>
      </c>
      <c r="B326" s="2" t="s">
        <v>20</v>
      </c>
      <c r="C326">
        <v>-8.9751262293472251</v>
      </c>
      <c r="F326">
        <v>24.606999999999999</v>
      </c>
      <c r="H326">
        <v>41.561</v>
      </c>
      <c r="I326">
        <v>0.83002218557705199</v>
      </c>
      <c r="J326">
        <v>5.3670628610513287</v>
      </c>
      <c r="K326">
        <v>7.2650754546778202</v>
      </c>
      <c r="L326">
        <v>21.635352014734469</v>
      </c>
      <c r="M326">
        <v>4082144</v>
      </c>
      <c r="O326">
        <v>68.556399999999996</v>
      </c>
      <c r="P326">
        <v>7.6483222446629817</v>
      </c>
      <c r="Q326">
        <v>1.4663430490686171</v>
      </c>
      <c r="R326">
        <v>67.614917487615443</v>
      </c>
      <c r="T326">
        <v>55.323617755033837</v>
      </c>
      <c r="U326">
        <v>32.518199920654297</v>
      </c>
      <c r="V326">
        <v>75.004000000000005</v>
      </c>
      <c r="W326">
        <v>5.6341511589762474</v>
      </c>
    </row>
    <row r="327" spans="1:23" x14ac:dyDescent="0.3">
      <c r="A327" t="s">
        <v>130</v>
      </c>
      <c r="B327" s="2" t="s">
        <v>21</v>
      </c>
      <c r="C327">
        <v>4.7360364820610243</v>
      </c>
      <c r="F327">
        <v>22.356999999999999</v>
      </c>
      <c r="H327">
        <v>38.901000000000003</v>
      </c>
      <c r="I327">
        <v>0.62079037451045904</v>
      </c>
      <c r="J327">
        <v>6.3033944055556654</v>
      </c>
      <c r="K327">
        <v>6.6798465624077901</v>
      </c>
      <c r="L327">
        <v>20.806327283674129</v>
      </c>
      <c r="M327">
        <v>4089131</v>
      </c>
      <c r="O327">
        <v>68.3155</v>
      </c>
      <c r="P327">
        <v>7.1683111837321745</v>
      </c>
      <c r="Q327">
        <v>1.1628930136136677</v>
      </c>
      <c r="R327">
        <v>64.605016499435791</v>
      </c>
      <c r="T327">
        <v>53.307189058867891</v>
      </c>
      <c r="U327">
        <v>33.2740287780762</v>
      </c>
      <c r="V327">
        <v>72.893000000000001</v>
      </c>
      <c r="W327">
        <v>5.7063502083070023</v>
      </c>
    </row>
    <row r="328" spans="1:23" x14ac:dyDescent="0.3">
      <c r="A328" t="s">
        <v>130</v>
      </c>
      <c r="B328" s="2" t="s">
        <v>22</v>
      </c>
      <c r="C328">
        <v>2.7522876100438083</v>
      </c>
      <c r="D328">
        <v>15.3</v>
      </c>
      <c r="F328">
        <v>20.155000000000001</v>
      </c>
      <c r="G328">
        <v>37.802</v>
      </c>
      <c r="H328">
        <v>36.566000000000003</v>
      </c>
      <c r="I328">
        <v>0.58517320853368304</v>
      </c>
      <c r="J328">
        <v>6.2465066866179715</v>
      </c>
      <c r="K328">
        <v>6.8049896073928</v>
      </c>
      <c r="L328">
        <v>20.369250848904045</v>
      </c>
      <c r="M328">
        <v>4232595</v>
      </c>
      <c r="N328">
        <v>45.814999999999998</v>
      </c>
      <c r="O328">
        <v>70.553200000000004</v>
      </c>
      <c r="P328">
        <v>7.1898860861442992</v>
      </c>
      <c r="Q328">
        <v>1.4315919989402106</v>
      </c>
      <c r="R328">
        <v>65.967431317245925</v>
      </c>
      <c r="T328">
        <v>53.14002890084025</v>
      </c>
      <c r="U328">
        <v>37.127689361572301</v>
      </c>
      <c r="V328">
        <v>76.05</v>
      </c>
      <c r="W328">
        <v>8.3064612444762336</v>
      </c>
    </row>
    <row r="329" spans="1:23" x14ac:dyDescent="0.3">
      <c r="A329" t="s">
        <v>130</v>
      </c>
      <c r="B329" s="2" t="s">
        <v>23</v>
      </c>
      <c r="C329">
        <v>0.18401554846974477</v>
      </c>
      <c r="D329">
        <v>15.106</v>
      </c>
      <c r="F329">
        <v>20.452999999999999</v>
      </c>
      <c r="G329">
        <v>38.512999999999998</v>
      </c>
      <c r="H329">
        <v>36.302999999999997</v>
      </c>
      <c r="I329">
        <v>0.666925034776371</v>
      </c>
      <c r="J329">
        <v>5.9581198325085829</v>
      </c>
      <c r="K329">
        <v>6.7339885632120602</v>
      </c>
      <c r="L329">
        <v>19.418795221920501</v>
      </c>
      <c r="M329">
        <v>4220581</v>
      </c>
      <c r="N329">
        <v>45.393999999999998</v>
      </c>
      <c r="O329">
        <v>72.354200000000006</v>
      </c>
      <c r="P329">
        <v>7.7011074428410513</v>
      </c>
      <c r="Q329">
        <v>1.4635133384422858</v>
      </c>
      <c r="R329">
        <v>62.692232532076254</v>
      </c>
      <c r="U329">
        <v>38.1219482421875</v>
      </c>
      <c r="V329">
        <v>76.507999999999996</v>
      </c>
      <c r="W329">
        <v>9.3289959750786533</v>
      </c>
    </row>
    <row r="330" spans="1:23" x14ac:dyDescent="0.3">
      <c r="A330" t="s">
        <v>130</v>
      </c>
      <c r="B330" s="2" t="s">
        <v>104</v>
      </c>
      <c r="C330">
        <v>1.6144456497698627</v>
      </c>
      <c r="F330">
        <v>20.72</v>
      </c>
      <c r="H330">
        <v>36.594999999999999</v>
      </c>
      <c r="I330">
        <v>0.62651925657275898</v>
      </c>
      <c r="J330">
        <v>6.3448701375078906</v>
      </c>
      <c r="L330">
        <v>18.937272393819253</v>
      </c>
      <c r="M330">
        <v>4241942</v>
      </c>
      <c r="Q330">
        <v>1.4797736580075016</v>
      </c>
      <c r="R330">
        <v>60.571775824600806</v>
      </c>
      <c r="W330">
        <v>7.2066165716879382</v>
      </c>
    </row>
    <row r="331" spans="1:23" x14ac:dyDescent="0.3">
      <c r="A331" t="s">
        <v>130</v>
      </c>
      <c r="B331" s="2" t="s">
        <v>105</v>
      </c>
      <c r="F331">
        <v>20.414999999999999</v>
      </c>
      <c r="H331">
        <v>35.979999999999997</v>
      </c>
      <c r="M331">
        <v>4268286</v>
      </c>
    </row>
    <row r="332" spans="1:23" ht="23.4" x14ac:dyDescent="0.45">
      <c r="B332" s="8" t="s">
        <v>131</v>
      </c>
      <c r="C332">
        <f>AVERAGE(C2:C331)</f>
        <v>4.2703465534013008</v>
      </c>
      <c r="D332">
        <f t="shared" ref="D332:W332" si="0">AVERAGE(D2:D331)</f>
        <v>12.019554054054058</v>
      </c>
      <c r="E332">
        <f t="shared" si="0"/>
        <v>14.686137931034482</v>
      </c>
      <c r="F332">
        <f t="shared" si="0"/>
        <v>17.630358381502887</v>
      </c>
      <c r="G332">
        <f t="shared" si="0"/>
        <v>27.464723684210533</v>
      </c>
      <c r="H332">
        <f t="shared" si="0"/>
        <v>33.500849710982664</v>
      </c>
      <c r="I332">
        <f t="shared" si="0"/>
        <v>2.340356070635754</v>
      </c>
      <c r="J332">
        <f t="shared" si="0"/>
        <v>9.7496696826579647</v>
      </c>
      <c r="K332">
        <f t="shared" si="0"/>
        <v>4.5674680427311332</v>
      </c>
      <c r="L332">
        <f t="shared" si="0"/>
        <v>16.715672461698588</v>
      </c>
      <c r="M332">
        <f t="shared" si="0"/>
        <v>8765688.1348314602</v>
      </c>
      <c r="N332">
        <f t="shared" si="0"/>
        <v>44.868457364341104</v>
      </c>
      <c r="O332">
        <f t="shared" si="0"/>
        <v>32.001858418300671</v>
      </c>
      <c r="P332">
        <f t="shared" si="0"/>
        <v>3.9887099822153878</v>
      </c>
      <c r="Q332">
        <f t="shared" si="0"/>
        <v>2.8306373184753308</v>
      </c>
      <c r="R332">
        <f t="shared" si="0"/>
        <v>44.530889476482457</v>
      </c>
      <c r="S332">
        <f t="shared" si="0"/>
        <v>4.4355824423783847</v>
      </c>
      <c r="T332">
        <f t="shared" si="0"/>
        <v>48.840405716328313</v>
      </c>
      <c r="U332">
        <f t="shared" si="0"/>
        <v>23.532245959490645</v>
      </c>
      <c r="V332">
        <f t="shared" si="0"/>
        <v>65.05157812500002</v>
      </c>
      <c r="W332">
        <f t="shared" si="0"/>
        <v>22.420744582298209</v>
      </c>
    </row>
    <row r="333" spans="1:23" ht="23.4" x14ac:dyDescent="0.45">
      <c r="B333" s="8" t="s">
        <v>132</v>
      </c>
      <c r="C333">
        <f>_xlfn.STDEV.S(C2:C331)</f>
        <v>6.1244658735889468</v>
      </c>
      <c r="D333">
        <f t="shared" ref="D333:W333" si="1">_xlfn.STDEV.S(D2:D331)</f>
        <v>4.3238555251650501</v>
      </c>
      <c r="E333">
        <f t="shared" si="1"/>
        <v>2.8428536056492231</v>
      </c>
      <c r="F333">
        <f t="shared" si="1"/>
        <v>5.8968174209820496</v>
      </c>
      <c r="G333">
        <f t="shared" si="1"/>
        <v>8.1019274687754219</v>
      </c>
      <c r="H333">
        <f t="shared" si="1"/>
        <v>13.720971052254873</v>
      </c>
      <c r="I333">
        <f t="shared" si="1"/>
        <v>1.5861369874118212</v>
      </c>
      <c r="J333">
        <f t="shared" si="1"/>
        <v>6.646958856816287</v>
      </c>
      <c r="K333">
        <f t="shared" si="1"/>
        <v>1.4757711182967264</v>
      </c>
      <c r="L333">
        <f t="shared" si="1"/>
        <v>4.8259244815708762</v>
      </c>
      <c r="M333">
        <f t="shared" si="1"/>
        <v>9619255.5844316911</v>
      </c>
      <c r="N333">
        <f t="shared" si="1"/>
        <v>5.0488925301861167</v>
      </c>
      <c r="O333">
        <f t="shared" si="1"/>
        <v>29.991185854530901</v>
      </c>
      <c r="P333">
        <f t="shared" si="1"/>
        <v>3.5277661475504405</v>
      </c>
      <c r="Q333">
        <f t="shared" si="1"/>
        <v>3.4119557103697402</v>
      </c>
      <c r="R333">
        <f t="shared" si="1"/>
        <v>22.748323322540834</v>
      </c>
      <c r="S333">
        <f t="shared" si="1"/>
        <v>7.4735601794088389</v>
      </c>
      <c r="T333">
        <f t="shared" si="1"/>
        <v>52.835783886459033</v>
      </c>
      <c r="U333">
        <f t="shared" si="1"/>
        <v>13.986842553781116</v>
      </c>
      <c r="V333">
        <f t="shared" si="1"/>
        <v>9.3690864283403936</v>
      </c>
      <c r="W333">
        <f t="shared" si="1"/>
        <v>31.601505517857174</v>
      </c>
    </row>
    <row r="334" spans="1:23" ht="23.4" x14ac:dyDescent="0.45">
      <c r="B334" s="8" t="s">
        <v>133</v>
      </c>
      <c r="C334">
        <f>MIN(C2:C331)</f>
        <v>-42.45111821576981</v>
      </c>
      <c r="D334">
        <f>MIN(D2:D331)</f>
        <v>1.53</v>
      </c>
      <c r="E334">
        <f t="shared" ref="E334:W334" si="2">MIN(E2:E331)</f>
        <v>6.6</v>
      </c>
      <c r="F334">
        <f t="shared" si="2"/>
        <v>9.2859999999999996</v>
      </c>
      <c r="G334">
        <f t="shared" si="2"/>
        <v>15.254</v>
      </c>
      <c r="H334">
        <f t="shared" si="2"/>
        <v>12.891</v>
      </c>
      <c r="I334">
        <f t="shared" si="2"/>
        <v>-3.2183712897604502</v>
      </c>
      <c r="J334">
        <f t="shared" si="2"/>
        <v>2.6278392119002802</v>
      </c>
      <c r="K334">
        <f t="shared" si="2"/>
        <v>1.2249086999308501</v>
      </c>
      <c r="L334">
        <f t="shared" si="2"/>
        <v>2.36013682064937</v>
      </c>
      <c r="M334">
        <f t="shared" si="2"/>
        <v>784076</v>
      </c>
      <c r="N334">
        <f t="shared" si="2"/>
        <v>27.35</v>
      </c>
      <c r="O334">
        <f t="shared" si="2"/>
        <v>0</v>
      </c>
      <c r="P334">
        <f t="shared" si="2"/>
        <v>0.50437538531703596</v>
      </c>
      <c r="Q334">
        <f t="shared" si="2"/>
        <v>-0.59839698955108334</v>
      </c>
      <c r="R334">
        <f t="shared" si="2"/>
        <v>10.267700775581687</v>
      </c>
      <c r="S334">
        <f t="shared" si="2"/>
        <v>-28.985908595508331</v>
      </c>
      <c r="T334">
        <f t="shared" si="2"/>
        <v>-67.70447128299628</v>
      </c>
      <c r="U334">
        <f t="shared" si="2"/>
        <v>1.2780400514602701</v>
      </c>
      <c r="V334">
        <f t="shared" si="2"/>
        <v>36.436</v>
      </c>
      <c r="W334">
        <f t="shared" si="2"/>
        <v>-3.7491452479962861</v>
      </c>
    </row>
    <row r="335" spans="1:23" ht="23.4" x14ac:dyDescent="0.45">
      <c r="B335" s="8" t="s">
        <v>134</v>
      </c>
      <c r="C335">
        <f>MAX(C2:C331)</f>
        <v>49.447379184914126</v>
      </c>
      <c r="D335">
        <f>MAX(D2:D331)</f>
        <v>22.86</v>
      </c>
      <c r="E335">
        <f t="shared" ref="E335:W335" si="3">MAX(E2:E331)</f>
        <v>19.837</v>
      </c>
      <c r="F335">
        <f t="shared" si="3"/>
        <v>32.183</v>
      </c>
      <c r="G335">
        <f t="shared" si="3"/>
        <v>43.738</v>
      </c>
      <c r="H335">
        <f t="shared" si="3"/>
        <v>60.502000000000002</v>
      </c>
      <c r="I335">
        <f t="shared" si="3"/>
        <v>9.9923047265604108</v>
      </c>
      <c r="J335">
        <f t="shared" si="3"/>
        <v>33.349773045665962</v>
      </c>
      <c r="K335">
        <f t="shared" si="3"/>
        <v>7.4769101142883301</v>
      </c>
      <c r="L335">
        <f t="shared" si="3"/>
        <v>34.310432569974552</v>
      </c>
      <c r="M335">
        <f t="shared" si="3"/>
        <v>36106369</v>
      </c>
      <c r="N335">
        <f t="shared" si="3"/>
        <v>54.38</v>
      </c>
      <c r="O335">
        <f t="shared" si="3"/>
        <v>92.534400000000005</v>
      </c>
      <c r="P335">
        <f t="shared" si="3"/>
        <v>24.116723446867859</v>
      </c>
      <c r="Q335">
        <f t="shared" si="3"/>
        <v>23.537291342713136</v>
      </c>
      <c r="R335">
        <f t="shared" si="3"/>
        <v>102.16194686955602</v>
      </c>
      <c r="S335">
        <f t="shared" si="3"/>
        <v>23.069254636248552</v>
      </c>
      <c r="T335">
        <f t="shared" si="3"/>
        <v>104.68741056608107</v>
      </c>
      <c r="U335">
        <f t="shared" si="3"/>
        <v>58.1761149059991</v>
      </c>
      <c r="V335">
        <f t="shared" si="3"/>
        <v>78.305999999999997</v>
      </c>
      <c r="W335">
        <f t="shared" si="3"/>
        <v>221.34164402336501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17EF-7C96-43AA-B11D-E198EFCA28C8}">
  <dimension ref="A1:V22"/>
  <sheetViews>
    <sheetView zoomScale="80" zoomScaleNormal="80" workbookViewId="0">
      <selection activeCell="E24" sqref="E24"/>
    </sheetView>
  </sheetViews>
  <sheetFormatPr defaultRowHeight="14.4" x14ac:dyDescent="0.3"/>
  <cols>
    <col min="1" max="1" width="15.21875" bestFit="1" customWidth="1"/>
    <col min="2" max="2" width="10" bestFit="1" customWidth="1"/>
    <col min="3" max="3" width="12.88671875" bestFit="1" customWidth="1"/>
    <col min="4" max="4" width="9.88671875" bestFit="1" customWidth="1"/>
    <col min="5" max="5" width="11" bestFit="1" customWidth="1"/>
    <col min="6" max="6" width="12.33203125" bestFit="1" customWidth="1"/>
    <col min="7" max="7" width="11.6640625" bestFit="1" customWidth="1"/>
    <col min="8" max="9" width="9.88671875" bestFit="1" customWidth="1"/>
    <col min="10" max="17" width="11.44140625" bestFit="1" customWidth="1"/>
    <col min="18" max="18" width="11" bestFit="1" customWidth="1"/>
    <col min="19" max="19" width="11.44140625" bestFit="1" customWidth="1"/>
    <col min="21" max="21" width="11.44140625" bestFit="1" customWidth="1"/>
    <col min="22" max="22" width="8.88671875" customWidth="1"/>
  </cols>
  <sheetData>
    <row r="1" spans="1:22" x14ac:dyDescent="0.3">
      <c r="A1" s="9"/>
      <c r="B1" s="9" t="s">
        <v>107</v>
      </c>
      <c r="C1" s="9" t="s">
        <v>135</v>
      </c>
      <c r="D1" s="9" t="s">
        <v>136</v>
      </c>
      <c r="E1" s="9" t="s">
        <v>108</v>
      </c>
      <c r="F1" s="9" t="s">
        <v>109</v>
      </c>
      <c r="G1" s="9" t="s">
        <v>110</v>
      </c>
      <c r="H1" s="9" t="s">
        <v>111</v>
      </c>
      <c r="I1" s="9" t="s">
        <v>112</v>
      </c>
      <c r="J1" s="9" t="s">
        <v>113</v>
      </c>
      <c r="K1" s="9" t="s">
        <v>114</v>
      </c>
      <c r="L1" s="9" t="s">
        <v>115</v>
      </c>
      <c r="M1" s="9" t="s">
        <v>116</v>
      </c>
      <c r="N1" s="9" t="s">
        <v>117</v>
      </c>
      <c r="O1" s="9" t="s">
        <v>118</v>
      </c>
      <c r="P1" s="9" t="s">
        <v>106</v>
      </c>
      <c r="Q1" s="9" t="s">
        <v>119</v>
      </c>
      <c r="R1" s="9" t="s">
        <v>120</v>
      </c>
      <c r="S1" s="9" t="s">
        <v>121</v>
      </c>
      <c r="T1" s="9" t="s">
        <v>122</v>
      </c>
      <c r="U1" s="9" t="s">
        <v>123</v>
      </c>
      <c r="V1" s="9" t="s">
        <v>124</v>
      </c>
    </row>
    <row r="2" spans="1:22" x14ac:dyDescent="0.3">
      <c r="A2" s="10" t="s">
        <v>107</v>
      </c>
      <c r="B2" s="10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3">
      <c r="A3" s="10" t="s">
        <v>135</v>
      </c>
      <c r="B3" s="10">
        <v>-0.26382754043882478</v>
      </c>
      <c r="C3" s="10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3">
      <c r="A4" s="10" t="s">
        <v>136</v>
      </c>
      <c r="B4" s="10">
        <v>-0.12513251690218358</v>
      </c>
      <c r="C4" s="10">
        <v>0.87561104517545962</v>
      </c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3">
      <c r="A5" s="10" t="s">
        <v>108</v>
      </c>
      <c r="B5" s="10">
        <v>-8.9587081827787823E-2</v>
      </c>
      <c r="C5" s="10">
        <v>0.43211399042131138</v>
      </c>
      <c r="D5" s="10">
        <v>0.39718088605103907</v>
      </c>
      <c r="E5" s="10">
        <v>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3">
      <c r="A6" s="10" t="s">
        <v>109</v>
      </c>
      <c r="B6" s="10">
        <v>-0.34533409355534095</v>
      </c>
      <c r="C6" s="10">
        <v>0.8555530957246118</v>
      </c>
      <c r="D6" s="10">
        <v>0.47661927652737318</v>
      </c>
      <c r="E6" s="10">
        <v>0.76165155090924941</v>
      </c>
      <c r="F6" s="10">
        <v>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3">
      <c r="A7" s="10" t="s">
        <v>110</v>
      </c>
      <c r="B7" s="10">
        <v>-1.3927981384825473E-2</v>
      </c>
      <c r="C7" s="10">
        <v>0.16537379732768556</v>
      </c>
      <c r="D7" s="10">
        <v>-5.2730998373480047E-2</v>
      </c>
      <c r="E7" s="10">
        <v>0.91811985563105358</v>
      </c>
      <c r="F7" s="10">
        <v>0.56456270220200355</v>
      </c>
      <c r="G7" s="10">
        <v>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3">
      <c r="A8" s="10" t="s">
        <v>111</v>
      </c>
      <c r="B8" s="10">
        <v>0.14804512961371186</v>
      </c>
      <c r="C8" s="10">
        <v>4.6492564582675103E-2</v>
      </c>
      <c r="D8" s="10">
        <v>-0.1997503534958778</v>
      </c>
      <c r="E8" s="10">
        <v>0.3289026257342747</v>
      </c>
      <c r="F8" s="10">
        <v>9.7015601906649332E-2</v>
      </c>
      <c r="G8" s="10">
        <v>0.40290804514916267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x14ac:dyDescent="0.3">
      <c r="A9" s="10" t="s">
        <v>112</v>
      </c>
      <c r="B9" s="10">
        <v>-5.8482848681721991E-4</v>
      </c>
      <c r="C9" s="10">
        <v>2.2074689528901677E-2</v>
      </c>
      <c r="D9" s="10">
        <v>-0.54405716876220289</v>
      </c>
      <c r="E9" s="10">
        <v>8.9913364694620065E-3</v>
      </c>
      <c r="F9" s="10">
        <v>-2.8956309950801524E-2</v>
      </c>
      <c r="G9" s="10">
        <v>0.10975650728394426</v>
      </c>
      <c r="H9" s="10">
        <v>0.24002252293700646</v>
      </c>
      <c r="I9" s="10">
        <v>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x14ac:dyDescent="0.3">
      <c r="A10" s="10" t="s">
        <v>113</v>
      </c>
      <c r="B10" s="10">
        <v>5.2483229106288316E-3</v>
      </c>
      <c r="C10" s="10">
        <v>7.6653838861105938E-2</v>
      </c>
      <c r="D10" s="10">
        <v>-0.68443286843441964</v>
      </c>
      <c r="E10" s="10">
        <v>0.24929708371669768</v>
      </c>
      <c r="F10" s="10">
        <v>-7.417203762336437E-2</v>
      </c>
      <c r="G10" s="10">
        <v>0.12592211455130456</v>
      </c>
      <c r="H10" s="10">
        <v>-2.3693047057319578E-2</v>
      </c>
      <c r="I10" s="10">
        <v>-0.57256662236508649</v>
      </c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x14ac:dyDescent="0.3">
      <c r="A11" s="10" t="s">
        <v>114</v>
      </c>
      <c r="B11" s="10">
        <v>7.1709862032524913E-2</v>
      </c>
      <c r="C11" s="10">
        <v>0.19524627145930443</v>
      </c>
      <c r="D11" s="10">
        <v>-0.55619875835778176</v>
      </c>
      <c r="E11" s="10">
        <v>0.20371339277646935</v>
      </c>
      <c r="F11" s="10">
        <v>0.31767212782452159</v>
      </c>
      <c r="G11" s="10">
        <v>0.1418407685779538</v>
      </c>
      <c r="H11" s="10">
        <v>0.2979920279656228</v>
      </c>
      <c r="I11" s="10">
        <v>0.28512761935226888</v>
      </c>
      <c r="J11" s="10">
        <v>0.34295966667631339</v>
      </c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x14ac:dyDescent="0.3">
      <c r="A12" s="10" t="s">
        <v>115</v>
      </c>
      <c r="B12" s="10">
        <v>-9.7012321467702667E-3</v>
      </c>
      <c r="C12" s="10">
        <v>-0.5808947208453179</v>
      </c>
      <c r="D12" s="10">
        <v>0.49498208337373628</v>
      </c>
      <c r="E12" s="10">
        <v>9.165619631445085E-2</v>
      </c>
      <c r="F12" s="10">
        <v>-0.3693026644116541</v>
      </c>
      <c r="G12" s="10">
        <v>0.21426369941582113</v>
      </c>
      <c r="H12" s="10">
        <v>-6.1323105671228263E-2</v>
      </c>
      <c r="I12" s="10">
        <v>-0.42228789081222395</v>
      </c>
      <c r="J12" s="10">
        <v>0.16417246477424241</v>
      </c>
      <c r="K12" s="10">
        <v>-0.58542480008452258</v>
      </c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x14ac:dyDescent="0.3">
      <c r="A13" s="10" t="s">
        <v>116</v>
      </c>
      <c r="B13" s="10">
        <v>-0.1833908622916848</v>
      </c>
      <c r="C13" s="10">
        <v>6.2548185588606628E-2</v>
      </c>
      <c r="D13" s="10">
        <v>0.36810837022607801</v>
      </c>
      <c r="E13" s="10">
        <v>-0.36290065718081677</v>
      </c>
      <c r="F13" s="10">
        <v>-0.31551578098004746</v>
      </c>
      <c r="G13" s="10">
        <v>-0.47763173784608826</v>
      </c>
      <c r="H13" s="10">
        <v>-0.33628189746388287</v>
      </c>
      <c r="I13" s="10">
        <v>-0.43062013456993897</v>
      </c>
      <c r="J13" s="10">
        <v>0.24860424605484183</v>
      </c>
      <c r="K13" s="10">
        <v>-0.25439659272064963</v>
      </c>
      <c r="L13" s="10">
        <v>0.26397402023579303</v>
      </c>
      <c r="M13" s="10">
        <v>1</v>
      </c>
      <c r="N13" s="10"/>
      <c r="O13" s="10"/>
      <c r="P13" s="10"/>
      <c r="Q13" s="10"/>
      <c r="R13" s="10"/>
      <c r="S13" s="10"/>
      <c r="T13" s="10"/>
      <c r="U13" s="10"/>
      <c r="V13" s="10"/>
    </row>
    <row r="14" spans="1:22" x14ac:dyDescent="0.3">
      <c r="A14" s="10" t="s">
        <v>117</v>
      </c>
      <c r="B14" s="10">
        <v>-0.40059113950165826</v>
      </c>
      <c r="C14" s="10">
        <v>8.8797668323024465E-2</v>
      </c>
      <c r="D14" s="10">
        <v>0.6738709508168218</v>
      </c>
      <c r="E14" s="10">
        <v>-2.6395710781588248E-2</v>
      </c>
      <c r="F14" s="10">
        <v>0.35282814650849964</v>
      </c>
      <c r="G14" s="10">
        <v>-1.7513233069023051E-2</v>
      </c>
      <c r="H14" s="10">
        <v>-0.16086421024725411</v>
      </c>
      <c r="I14" s="10">
        <v>9.5649710589726961E-2</v>
      </c>
      <c r="J14" s="10">
        <v>-0.2221383832620924</v>
      </c>
      <c r="K14" s="10">
        <v>-0.16850139308259668</v>
      </c>
      <c r="L14" s="10">
        <v>1.1771589476967961E-2</v>
      </c>
      <c r="M14" s="10">
        <v>-0.2043398334835613</v>
      </c>
      <c r="N14" s="10">
        <v>1</v>
      </c>
      <c r="O14" s="10"/>
      <c r="P14" s="10"/>
      <c r="Q14" s="10"/>
      <c r="R14" s="10"/>
      <c r="S14" s="10"/>
      <c r="T14" s="10"/>
      <c r="U14" s="10"/>
      <c r="V14" s="10"/>
    </row>
    <row r="15" spans="1:22" x14ac:dyDescent="0.3">
      <c r="A15" s="10" t="s">
        <v>118</v>
      </c>
      <c r="B15" s="10">
        <v>-4.8967387073448505E-2</v>
      </c>
      <c r="C15" s="10">
        <v>0.18161312628771803</v>
      </c>
      <c r="D15" s="10">
        <v>-1.7085309283829037E-2</v>
      </c>
      <c r="E15" s="10">
        <v>-0.21673823881410173</v>
      </c>
      <c r="F15" s="10">
        <v>0.21288507312758165</v>
      </c>
      <c r="G15" s="10">
        <v>-0.39022610878452985</v>
      </c>
      <c r="H15" s="10">
        <v>-0.2426520215041546</v>
      </c>
      <c r="I15" s="10">
        <v>6.270492386604945E-2</v>
      </c>
      <c r="J15" s="10">
        <v>9.6817083050965716E-2</v>
      </c>
      <c r="K15" s="10">
        <v>9.043655450740605E-2</v>
      </c>
      <c r="L15" s="10">
        <v>-0.3328278214097084</v>
      </c>
      <c r="M15" s="10">
        <v>0.35770754797132642</v>
      </c>
      <c r="N15" s="10">
        <v>0.10614250223600791</v>
      </c>
      <c r="O15" s="10">
        <v>1</v>
      </c>
      <c r="P15" s="10"/>
      <c r="Q15" s="10"/>
      <c r="R15" s="10"/>
      <c r="S15" s="10"/>
      <c r="T15" s="10"/>
      <c r="U15" s="10"/>
      <c r="V15" s="10"/>
    </row>
    <row r="16" spans="1:22" x14ac:dyDescent="0.3">
      <c r="A16" s="10" t="s">
        <v>106</v>
      </c>
      <c r="B16" s="10">
        <v>1.8209429133348214E-2</v>
      </c>
      <c r="C16" s="10">
        <v>-4.3782135133104805E-2</v>
      </c>
      <c r="D16" s="10">
        <v>-0.28047801011006657</v>
      </c>
      <c r="E16" s="10">
        <v>-0.10552959339107633</v>
      </c>
      <c r="F16" s="10">
        <v>-0.2162687293904125</v>
      </c>
      <c r="G16" s="10">
        <v>3.2744476700265535E-2</v>
      </c>
      <c r="H16" s="10">
        <v>1.6234692662663124E-3</v>
      </c>
      <c r="I16" s="10">
        <v>0.41095800091411366</v>
      </c>
      <c r="J16" s="10">
        <v>-0.41872626211078268</v>
      </c>
      <c r="K16" s="10">
        <v>-0.11599529400209638</v>
      </c>
      <c r="L16" s="10">
        <v>-0.20360632135526796</v>
      </c>
      <c r="M16" s="10">
        <v>-0.21649807690960998</v>
      </c>
      <c r="N16" s="10">
        <v>-0.10644373114069475</v>
      </c>
      <c r="O16" s="10">
        <v>3.429353276136389E-2</v>
      </c>
      <c r="P16" s="10">
        <v>1</v>
      </c>
      <c r="Q16" s="10"/>
      <c r="R16" s="10"/>
      <c r="S16" s="10"/>
      <c r="T16" s="10"/>
      <c r="U16" s="10"/>
      <c r="V16" s="10"/>
    </row>
    <row r="17" spans="1:22" x14ac:dyDescent="0.3">
      <c r="A17" s="10" t="s">
        <v>119</v>
      </c>
      <c r="B17" s="10">
        <v>-0.12609782428821259</v>
      </c>
      <c r="C17" s="10">
        <v>0.49390176259282231</v>
      </c>
      <c r="D17" s="10">
        <v>0.22969170234825803</v>
      </c>
      <c r="E17" s="10">
        <v>4.1822772833949383E-2</v>
      </c>
      <c r="F17" s="10">
        <v>0.41675474555538189</v>
      </c>
      <c r="G17" s="10">
        <v>7.4390099219870193E-2</v>
      </c>
      <c r="H17" s="10">
        <v>-7.740997277274482E-2</v>
      </c>
      <c r="I17" s="10">
        <v>0.42297883381843032</v>
      </c>
      <c r="J17" s="10">
        <v>-0.26584087123626565</v>
      </c>
      <c r="K17" s="10">
        <v>0.18659040290354093</v>
      </c>
      <c r="L17" s="10">
        <v>-0.64615631543963536</v>
      </c>
      <c r="M17" s="10">
        <v>-0.28728779910024943</v>
      </c>
      <c r="N17" s="10">
        <v>0.28971571777956229</v>
      </c>
      <c r="O17" s="10">
        <v>0.14485538180359245</v>
      </c>
      <c r="P17" s="10">
        <v>0.48091079742668696</v>
      </c>
      <c r="Q17" s="10">
        <v>1</v>
      </c>
      <c r="R17" s="10"/>
      <c r="S17" s="10"/>
      <c r="T17" s="10"/>
      <c r="U17" s="10"/>
      <c r="V17" s="10"/>
    </row>
    <row r="18" spans="1:22" x14ac:dyDescent="0.3">
      <c r="A18" s="10" t="s">
        <v>120</v>
      </c>
      <c r="B18" s="10">
        <v>5.2199562169041931E-2</v>
      </c>
      <c r="C18" s="10">
        <v>0.28175281931761037</v>
      </c>
      <c r="D18" s="10">
        <v>0.37076501873094281</v>
      </c>
      <c r="E18" s="10">
        <v>-0.15143032885780372</v>
      </c>
      <c r="F18" s="10">
        <v>0.18807821412517475</v>
      </c>
      <c r="G18" s="10">
        <v>-0.20431544496310081</v>
      </c>
      <c r="H18" s="10">
        <v>-5.1128679464894772E-2</v>
      </c>
      <c r="I18" s="10">
        <v>0.25057712211000249</v>
      </c>
      <c r="J18" s="10">
        <v>-0.3123057861455793</v>
      </c>
      <c r="K18" s="10">
        <v>0.18065789097749138</v>
      </c>
      <c r="L18" s="10">
        <v>-0.31560373891980659</v>
      </c>
      <c r="M18" s="10">
        <v>-0.14698361144315353</v>
      </c>
      <c r="N18" s="10">
        <v>-0.34369714851413602</v>
      </c>
      <c r="O18" s="10">
        <v>0.1866538851160236</v>
      </c>
      <c r="P18" s="10">
        <v>3.2809183657220867E-2</v>
      </c>
      <c r="Q18" s="10">
        <v>0.34412600400776833</v>
      </c>
      <c r="R18" s="10">
        <v>1</v>
      </c>
      <c r="S18" s="10"/>
      <c r="T18" s="10"/>
      <c r="U18" s="10"/>
      <c r="V18" s="10"/>
    </row>
    <row r="19" spans="1:22" x14ac:dyDescent="0.3">
      <c r="A19" s="10" t="s">
        <v>121</v>
      </c>
      <c r="B19" s="10">
        <v>-0.18730493399993509</v>
      </c>
      <c r="C19" s="10">
        <v>0.44650831175566807</v>
      </c>
      <c r="D19" s="10">
        <v>-0.47962232151292744</v>
      </c>
      <c r="E19" s="10">
        <v>-0.22458842955878938</v>
      </c>
      <c r="F19" s="10">
        <v>-3.0390284755761728E-2</v>
      </c>
      <c r="G19" s="10">
        <v>-0.22498750710316717</v>
      </c>
      <c r="H19" s="10">
        <v>5.9082487843800213E-2</v>
      </c>
      <c r="I19" s="10">
        <v>0.47737988793822417</v>
      </c>
      <c r="J19" s="10">
        <v>-0.32964489139088787</v>
      </c>
      <c r="K19" s="10">
        <v>0.57802748393472725</v>
      </c>
      <c r="L19" s="10">
        <v>-0.55586083684565235</v>
      </c>
      <c r="M19" s="10">
        <v>-0.20687686839074804</v>
      </c>
      <c r="N19" s="10">
        <v>0.40628467150988351</v>
      </c>
      <c r="O19" s="10">
        <v>6.6824738821976939E-2</v>
      </c>
      <c r="P19" s="10">
        <v>0.22643503773222554</v>
      </c>
      <c r="Q19" s="10">
        <v>0.52668289181252514</v>
      </c>
      <c r="R19" s="10">
        <v>8.5715826021821276E-2</v>
      </c>
      <c r="S19" s="10">
        <v>1</v>
      </c>
      <c r="T19" s="10"/>
      <c r="U19" s="10"/>
      <c r="V19" s="10"/>
    </row>
    <row r="20" spans="1:22" x14ac:dyDescent="0.3">
      <c r="A20" s="10" t="s">
        <v>122</v>
      </c>
      <c r="B20" s="10">
        <v>-0.30213020928934364</v>
      </c>
      <c r="C20" s="10">
        <v>0.16720919006096183</v>
      </c>
      <c r="D20" s="10">
        <v>-0.85401271374872378</v>
      </c>
      <c r="E20" s="10">
        <v>0.1352194664334733</v>
      </c>
      <c r="F20" s="10">
        <v>0.35882824764752735</v>
      </c>
      <c r="G20" s="10">
        <v>0.27705383729853594</v>
      </c>
      <c r="H20" s="10">
        <v>-0.20351102019178965</v>
      </c>
      <c r="I20" s="10">
        <v>0.58285820439191161</v>
      </c>
      <c r="J20" s="10">
        <v>-0.49117963409822818</v>
      </c>
      <c r="K20" s="10">
        <v>-0.2571441058542101</v>
      </c>
      <c r="L20" s="10">
        <v>-7.0519229983148204E-2</v>
      </c>
      <c r="M20" s="10">
        <v>-0.32783689729791654</v>
      </c>
      <c r="N20" s="10">
        <v>0.61762850118302925</v>
      </c>
      <c r="O20" s="10">
        <v>0.23580182428907862</v>
      </c>
      <c r="P20" s="10">
        <v>0.47874965289801436</v>
      </c>
      <c r="Q20" s="10">
        <v>0.66048572767733715</v>
      </c>
      <c r="R20" s="10">
        <v>0.1069455048937768</v>
      </c>
      <c r="S20" s="10">
        <v>0.20669232353403361</v>
      </c>
      <c r="T20" s="10">
        <v>1</v>
      </c>
      <c r="U20" s="10"/>
      <c r="V20" s="10"/>
    </row>
    <row r="21" spans="1:22" x14ac:dyDescent="0.3">
      <c r="A21" s="10" t="s">
        <v>123</v>
      </c>
      <c r="B21" s="10">
        <v>-0.10840194361512055</v>
      </c>
      <c r="C21" s="10">
        <v>0.5798868605113614</v>
      </c>
      <c r="D21" s="10">
        <v>0.49755418262240186</v>
      </c>
      <c r="E21" s="10">
        <v>-7.3047385959491604E-2</v>
      </c>
      <c r="F21" s="10">
        <v>0.47435446752698607</v>
      </c>
      <c r="G21" s="10">
        <v>-4.5784078188756912E-2</v>
      </c>
      <c r="H21" s="10">
        <v>-0.17135342389832139</v>
      </c>
      <c r="I21" s="10">
        <v>0.29004877627216241</v>
      </c>
      <c r="J21" s="10">
        <v>-0.25476196159443448</v>
      </c>
      <c r="K21" s="10">
        <v>-2.7119503084641478E-2</v>
      </c>
      <c r="L21" s="10">
        <v>-0.4915621894182195</v>
      </c>
      <c r="M21" s="10">
        <v>-4.0790494198263715E-2</v>
      </c>
      <c r="N21" s="10">
        <v>0.61958177751656218</v>
      </c>
      <c r="O21" s="10">
        <v>0.35668247893155008</v>
      </c>
      <c r="P21" s="10">
        <v>0.43163104272796698</v>
      </c>
      <c r="Q21" s="10">
        <v>0.82696170739774733</v>
      </c>
      <c r="R21" s="10">
        <v>0.22450430881321137</v>
      </c>
      <c r="S21" s="10">
        <v>0.44059538373604273</v>
      </c>
      <c r="T21" s="10">
        <v>0.75189970138333451</v>
      </c>
      <c r="U21" s="10">
        <v>1</v>
      </c>
      <c r="V21" s="10"/>
    </row>
    <row r="22" spans="1:22" ht="15" thickBot="1" x14ac:dyDescent="0.35">
      <c r="A22" s="11" t="s">
        <v>124</v>
      </c>
      <c r="B22" s="11">
        <v>-7.1332676848731805E-2</v>
      </c>
      <c r="C22" s="11">
        <v>-0.61050071970463493</v>
      </c>
      <c r="D22" s="11">
        <v>-0.26780983200900932</v>
      </c>
      <c r="E22" s="11">
        <v>0.14142190518811965</v>
      </c>
      <c r="F22" s="11">
        <v>-0.15717866361382954</v>
      </c>
      <c r="G22" s="11">
        <v>0.18658994045173999</v>
      </c>
      <c r="H22" s="11">
        <v>-9.514698332396461E-2</v>
      </c>
      <c r="I22" s="11">
        <v>0.13156857345406214</v>
      </c>
      <c r="J22" s="11">
        <v>-0.29836875004083968</v>
      </c>
      <c r="K22" s="11">
        <v>-0.47970395845312042</v>
      </c>
      <c r="L22" s="11">
        <v>0.5839558529410479</v>
      </c>
      <c r="M22" s="11">
        <v>7.0961109470750574E-3</v>
      </c>
      <c r="N22" s="11">
        <v>5.1722416259967242E-2</v>
      </c>
      <c r="O22" s="11">
        <v>-7.7331421681069906E-2</v>
      </c>
      <c r="P22" s="11">
        <v>-6.2150780769114435E-2</v>
      </c>
      <c r="Q22" s="11">
        <v>-0.41875356570289657</v>
      </c>
      <c r="R22" s="11">
        <v>-0.23900695005189632</v>
      </c>
      <c r="S22" s="11">
        <v>-0.54863439707868278</v>
      </c>
      <c r="T22" s="11">
        <v>0.20889578948455004</v>
      </c>
      <c r="U22" s="11">
        <v>-0.12929481141379759</v>
      </c>
      <c r="V22" s="11">
        <v>1</v>
      </c>
    </row>
  </sheetData>
  <conditionalFormatting sqref="B2:V4 B6:V22 B5:K5 M5:V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V22">
    <cfRule type="colorScale" priority="2">
      <colorScale>
        <cfvo type="min"/>
        <cfvo type="max"/>
        <color theme="0"/>
        <color rgb="FFFFEF9C"/>
      </colorScale>
    </cfRule>
  </conditionalFormatting>
  <conditionalFormatting sqref="A1:XFD1048576">
    <cfRule type="colorScale" priority="1">
      <colorScale>
        <cfvo type="min"/>
        <cfvo type="max"/>
        <color theme="0"/>
        <color theme="0" tint="-0.249977111117893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0BAA-BBAA-4725-9F7C-FF41114CC75D}">
  <dimension ref="A1:I43"/>
  <sheetViews>
    <sheetView workbookViewId="0">
      <selection activeCell="M26" sqref="M26"/>
    </sheetView>
  </sheetViews>
  <sheetFormatPr defaultRowHeight="14.4" x14ac:dyDescent="0.3"/>
  <sheetData>
    <row r="1" spans="1:9" x14ac:dyDescent="0.3">
      <c r="A1" t="s">
        <v>31</v>
      </c>
    </row>
    <row r="2" spans="1:9" ht="15" thickBot="1" x14ac:dyDescent="0.35"/>
    <row r="3" spans="1:9" x14ac:dyDescent="0.3">
      <c r="A3" s="6" t="s">
        <v>32</v>
      </c>
      <c r="B3" s="6"/>
    </row>
    <row r="4" spans="1:9" x14ac:dyDescent="0.3">
      <c r="A4" s="3" t="s">
        <v>33</v>
      </c>
      <c r="B4" s="3">
        <v>0.39422375355945694</v>
      </c>
    </row>
    <row r="5" spans="1:9" x14ac:dyDescent="0.3">
      <c r="A5" s="3" t="s">
        <v>34</v>
      </c>
      <c r="B5" s="3">
        <v>0.15541236787050744</v>
      </c>
    </row>
    <row r="6" spans="1:9" x14ac:dyDescent="0.3">
      <c r="A6" s="3" t="s">
        <v>35</v>
      </c>
      <c r="B6" s="3">
        <v>0.10573074245112553</v>
      </c>
    </row>
    <row r="7" spans="1:9" x14ac:dyDescent="0.3">
      <c r="A7" s="3" t="s">
        <v>36</v>
      </c>
      <c r="B7" s="3">
        <v>2.5374438507863317</v>
      </c>
    </row>
    <row r="8" spans="1:9" ht="15" thickBot="1" x14ac:dyDescent="0.35">
      <c r="A8" s="4" t="s">
        <v>37</v>
      </c>
      <c r="B8" s="4">
        <v>19</v>
      </c>
    </row>
    <row r="10" spans="1:9" ht="15" thickBot="1" x14ac:dyDescent="0.35">
      <c r="A10" t="s">
        <v>38</v>
      </c>
    </row>
    <row r="11" spans="1:9" x14ac:dyDescent="0.3">
      <c r="A11" s="5"/>
      <c r="B11" s="5" t="s">
        <v>43</v>
      </c>
      <c r="C11" s="5" t="s">
        <v>44</v>
      </c>
      <c r="D11" s="5" t="s">
        <v>45</v>
      </c>
      <c r="E11" s="5" t="s">
        <v>46</v>
      </c>
      <c r="F11" s="5" t="s">
        <v>47</v>
      </c>
    </row>
    <row r="12" spans="1:9" x14ac:dyDescent="0.3">
      <c r="A12" s="3" t="s">
        <v>39</v>
      </c>
      <c r="B12" s="3">
        <v>1</v>
      </c>
      <c r="C12" s="3">
        <v>20.141075759286466</v>
      </c>
      <c r="D12" s="3">
        <v>20.141075759286466</v>
      </c>
      <c r="E12" s="3">
        <v>3.1281659277169624</v>
      </c>
      <c r="F12" s="3">
        <v>9.4888287728159271E-2</v>
      </c>
    </row>
    <row r="13" spans="1:9" x14ac:dyDescent="0.3">
      <c r="A13" s="3" t="s">
        <v>40</v>
      </c>
      <c r="B13" s="3">
        <v>17</v>
      </c>
      <c r="C13" s="3">
        <v>109.45656203018724</v>
      </c>
      <c r="D13" s="3">
        <v>6.4386212958933671</v>
      </c>
      <c r="E13" s="3"/>
      <c r="F13" s="3"/>
    </row>
    <row r="14" spans="1:9" ht="15" thickBot="1" x14ac:dyDescent="0.35">
      <c r="A14" s="4" t="s">
        <v>41</v>
      </c>
      <c r="B14" s="4">
        <v>18</v>
      </c>
      <c r="C14" s="4">
        <v>129.59763778947371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48</v>
      </c>
      <c r="C16" s="5" t="s">
        <v>36</v>
      </c>
      <c r="D16" s="5" t="s">
        <v>49</v>
      </c>
      <c r="E16" s="5" t="s">
        <v>50</v>
      </c>
      <c r="F16" s="5" t="s">
        <v>51</v>
      </c>
      <c r="G16" s="5" t="s">
        <v>52</v>
      </c>
      <c r="H16" s="5" t="s">
        <v>53</v>
      </c>
      <c r="I16" s="5" t="s">
        <v>54</v>
      </c>
    </row>
    <row r="17" spans="1:9" x14ac:dyDescent="0.3">
      <c r="A17" s="3" t="s">
        <v>42</v>
      </c>
      <c r="B17" s="3">
        <v>16.506282851116666</v>
      </c>
      <c r="C17" s="3">
        <v>1.0316421579042081</v>
      </c>
      <c r="D17" s="3">
        <v>16.000008069318682</v>
      </c>
      <c r="E17" s="3">
        <v>1.1071780132416402E-11</v>
      </c>
      <c r="F17" s="3">
        <v>14.329708155620789</v>
      </c>
      <c r="G17" s="3">
        <v>18.682857546612542</v>
      </c>
      <c r="H17" s="3">
        <v>14.329708155620789</v>
      </c>
      <c r="I17" s="3">
        <v>18.682857546612542</v>
      </c>
    </row>
    <row r="18" spans="1:9" ht="15" thickBot="1" x14ac:dyDescent="0.35">
      <c r="A18" s="4" t="s">
        <v>55</v>
      </c>
      <c r="B18" s="4">
        <v>-0.41568049077381525</v>
      </c>
      <c r="C18" s="4">
        <v>0.23502537346891531</v>
      </c>
      <c r="D18" s="4">
        <v>-1.768662185867321</v>
      </c>
      <c r="E18" s="4">
        <v>9.4888287728158882E-2</v>
      </c>
      <c r="F18" s="4">
        <v>-0.91154068490462592</v>
      </c>
      <c r="G18" s="4">
        <v>8.0179703356995424E-2</v>
      </c>
      <c r="H18" s="4">
        <v>-0.91154068490462592</v>
      </c>
      <c r="I18" s="4">
        <v>8.0179703356995424E-2</v>
      </c>
    </row>
    <row r="22" spans="1:9" x14ac:dyDescent="0.3">
      <c r="A22" t="s">
        <v>56</v>
      </c>
    </row>
    <row r="23" spans="1:9" ht="15" thickBot="1" x14ac:dyDescent="0.35"/>
    <row r="24" spans="1:9" x14ac:dyDescent="0.3">
      <c r="A24" s="5" t="s">
        <v>57</v>
      </c>
      <c r="B24" s="5" t="s">
        <v>58</v>
      </c>
      <c r="C24" s="5" t="s">
        <v>59</v>
      </c>
    </row>
    <row r="25" spans="1:9" x14ac:dyDescent="0.3">
      <c r="A25" s="3">
        <v>1</v>
      </c>
      <c r="B25" s="3">
        <v>13.119902322028191</v>
      </c>
      <c r="C25" s="3">
        <v>1.6800976779718102</v>
      </c>
    </row>
    <row r="26" spans="1:9" x14ac:dyDescent="0.3">
      <c r="A26" s="3">
        <v>2</v>
      </c>
      <c r="B26" s="3">
        <v>13.142190915687671</v>
      </c>
      <c r="C26" s="3">
        <v>0.85780908431232916</v>
      </c>
    </row>
    <row r="27" spans="1:9" x14ac:dyDescent="0.3">
      <c r="A27" s="3">
        <v>3</v>
      </c>
      <c r="B27" s="3">
        <v>13.107608512799871</v>
      </c>
      <c r="C27" s="3">
        <v>-7.608512799871292E-3</v>
      </c>
    </row>
    <row r="28" spans="1:9" x14ac:dyDescent="0.3">
      <c r="A28" s="3">
        <v>4</v>
      </c>
      <c r="B28" s="3">
        <v>13.504909100094018</v>
      </c>
      <c r="C28" s="3">
        <v>-0.80490910009401873</v>
      </c>
    </row>
    <row r="29" spans="1:9" x14ac:dyDescent="0.3">
      <c r="A29" s="3">
        <v>5</v>
      </c>
      <c r="B29" s="3">
        <v>14.418024582580278</v>
      </c>
      <c r="C29" s="3">
        <v>-1.5180245825802778</v>
      </c>
    </row>
    <row r="30" spans="1:9" x14ac:dyDescent="0.3">
      <c r="A30" s="3">
        <v>6</v>
      </c>
      <c r="B30" s="3">
        <v>15.544051426224975</v>
      </c>
      <c r="C30" s="3">
        <v>-3.0440514262249749</v>
      </c>
    </row>
    <row r="31" spans="1:9" x14ac:dyDescent="0.3">
      <c r="A31" s="3">
        <v>7</v>
      </c>
      <c r="B31" s="3">
        <v>15.368490572634519</v>
      </c>
      <c r="C31" s="3">
        <v>-2.4684905726345185</v>
      </c>
    </row>
    <row r="32" spans="1:9" x14ac:dyDescent="0.3">
      <c r="A32" s="3">
        <v>8</v>
      </c>
      <c r="B32" s="3">
        <v>15.4964461249947</v>
      </c>
      <c r="C32" s="3">
        <v>-3.2964461249947004</v>
      </c>
    </row>
    <row r="33" spans="1:3" x14ac:dyDescent="0.3">
      <c r="A33" s="3">
        <v>9</v>
      </c>
      <c r="B33" s="3">
        <v>15.421378645180683</v>
      </c>
      <c r="C33" s="3">
        <v>-2.8213786451806833</v>
      </c>
    </row>
    <row r="34" spans="1:3" x14ac:dyDescent="0.3">
      <c r="A34" s="3">
        <v>10</v>
      </c>
      <c r="B34" s="3">
        <v>15.099587605968292</v>
      </c>
      <c r="C34" s="3">
        <v>-3.1995876059682917</v>
      </c>
    </row>
    <row r="35" spans="1:3" x14ac:dyDescent="0.3">
      <c r="A35" s="3">
        <v>11</v>
      </c>
      <c r="B35" s="3">
        <v>15.468524537148332</v>
      </c>
      <c r="C35" s="3">
        <v>-2.3935245371483322</v>
      </c>
    </row>
    <row r="36" spans="1:3" x14ac:dyDescent="0.3">
      <c r="A36" s="3">
        <v>12</v>
      </c>
      <c r="B36" s="3">
        <v>15.677340776987398</v>
      </c>
      <c r="C36" s="3">
        <v>-0.40234077698739767</v>
      </c>
    </row>
    <row r="37" spans="1:3" x14ac:dyDescent="0.3">
      <c r="A37" s="3">
        <v>13</v>
      </c>
      <c r="B37" s="3">
        <v>15.478056356280874</v>
      </c>
      <c r="C37" s="3">
        <v>2.6419436437191273</v>
      </c>
    </row>
    <row r="38" spans="1:3" x14ac:dyDescent="0.3">
      <c r="A38" s="3">
        <v>14</v>
      </c>
      <c r="B38" s="3">
        <v>15.708562511998299</v>
      </c>
      <c r="C38" s="3">
        <v>2.5484374880017029</v>
      </c>
    </row>
    <row r="39" spans="1:3" x14ac:dyDescent="0.3">
      <c r="A39" s="3">
        <v>15</v>
      </c>
      <c r="B39" s="3">
        <v>15.778326224779223</v>
      </c>
      <c r="C39" s="3">
        <v>1.0226737752207757</v>
      </c>
    </row>
    <row r="40" spans="1:3" x14ac:dyDescent="0.3">
      <c r="A40" s="3">
        <v>16</v>
      </c>
      <c r="B40" s="3">
        <v>16.964675295081459</v>
      </c>
      <c r="C40" s="3">
        <v>2.2483247049185415</v>
      </c>
    </row>
    <row r="41" spans="1:3" x14ac:dyDescent="0.3">
      <c r="A41" s="3">
        <v>17</v>
      </c>
      <c r="B41" s="3">
        <v>14.98670312953486</v>
      </c>
      <c r="C41" s="3">
        <v>4.8502968704651401</v>
      </c>
    </row>
    <row r="42" spans="1:3" x14ac:dyDescent="0.3">
      <c r="A42" s="3">
        <v>18</v>
      </c>
      <c r="B42" s="3">
        <v>15.405795709038372</v>
      </c>
      <c r="C42" s="3">
        <v>2.7942042909616269</v>
      </c>
    </row>
    <row r="43" spans="1:3" ht="15" thickBot="1" x14ac:dyDescent="0.35">
      <c r="A43" s="4">
        <v>19</v>
      </c>
      <c r="B43" s="4">
        <v>15.307425650957954</v>
      </c>
      <c r="C43" s="4">
        <v>1.3125743490420465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LENOVO-H</dc:creator>
  <cp:lastModifiedBy>LENOVO-H</cp:lastModifiedBy>
  <dcterms:created xsi:type="dcterms:W3CDTF">2026-03-09T19:57:05Z</dcterms:created>
  <dcterms:modified xsi:type="dcterms:W3CDTF">2026-04-04T12:40:31Z</dcterms:modified>
</cp:coreProperties>
</file>